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andeloitte-my.sharepoint.com/personal/ssivapragasam_deloitte_ca/Documents/Documents/AI Learning/Fraud Detection/"/>
    </mc:Choice>
  </mc:AlternateContent>
  <xr:revisionPtr revIDLastSave="0" documentId="8_{FB6BB88B-2EDB-43B1-95F4-BDB04605EA46}" xr6:coauthVersionLast="47" xr6:coauthVersionMax="47" xr10:uidLastSave="{00000000-0000-0000-0000-000000000000}"/>
  <bookViews>
    <workbookView xWindow="-110" yWindow="-110" windowWidth="19420" windowHeight="10300" tabRatio="500" xr2:uid="{00000000-000D-0000-FFFF-FFFF00000000}"/>
  </bookViews>
  <sheets>
    <sheet name="Product Backlog" sheetId="1" r:id="rId1"/>
    <sheet name="Sprint Board" sheetId="2" r:id="rId2"/>
    <sheet name="Epic Summary" sheetId="3" r:id="rId3"/>
    <sheet name="Req Traceability" sheetId="4" r:id="rId4"/>
  </sheets>
  <definedNames>
    <definedName name="_xlnm._FilterDatabase" localSheetId="0" hidden="1">'Product Backlog'!$A$3:$M$3</definedName>
    <definedName name="_xlnm.Print_Titles" localSheetId="0">'Product Backlog'!$3:$3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9" i="3" l="1"/>
  <c r="F9" i="3"/>
  <c r="E9" i="3"/>
  <c r="D9" i="3"/>
  <c r="C9" i="3"/>
  <c r="L2" i="1"/>
  <c r="J2" i="1"/>
</calcChain>
</file>

<file path=xl/sharedStrings.xml><?xml version="1.0" encoding="utf-8"?>
<sst xmlns="http://schemas.openxmlformats.org/spreadsheetml/2006/main" count="422" uniqueCount="231">
  <si>
    <t>FRAUD DETECTION SYSTEM  —  Product Backlog  v1.0</t>
  </si>
  <si>
    <t>Project</t>
  </si>
  <si>
    <t>Fraud Detection System (FDS)</t>
  </si>
  <si>
    <t>Client</t>
  </si>
  <si>
    <t>GlobalBank</t>
  </si>
  <si>
    <t>Sprint</t>
  </si>
  <si>
    <t>Sprint 1</t>
  </si>
  <si>
    <t>Last Updated</t>
  </si>
  <si>
    <t>22 May 2026</t>
  </si>
  <si>
    <t>Total Stories</t>
  </si>
  <si>
    <t>Done</t>
  </si>
  <si>
    <t>Story ID</t>
  </si>
  <si>
    <t>Epic</t>
  </si>
  <si>
    <t>Type</t>
  </si>
  <si>
    <t>Summary</t>
  </si>
  <si>
    <t>User Story</t>
  </si>
  <si>
    <t>Acceptance Criteria</t>
  </si>
  <si>
    <t>Priority</t>
  </si>
  <si>
    <t>Story Points</t>
  </si>
  <si>
    <t>Status</t>
  </si>
  <si>
    <t>Assignee</t>
  </si>
  <si>
    <t>REQ-ID</t>
  </si>
  <si>
    <t>Labels</t>
  </si>
  <si>
    <t>FDS-01</t>
  </si>
  <si>
    <t>Authentication</t>
  </si>
  <si>
    <t>Story</t>
  </si>
  <si>
    <t>Login as ops analyst</t>
  </si>
  <si>
    <t>As an ops analyst, I want to log in with my credentials so that I can access the fraud review dashboard.</t>
  </si>
  <si>
    <t>Given valid username and password, When POST /auth/login, Then 200 with JWT token + user object
Given invalid credentials, When POST /auth/login, Then 401 with { error: 'Invalid credentials' }
Given missing body fields, When POST /auth/login, Then 400</t>
  </si>
  <si>
    <t>Must Have</t>
  </si>
  <si>
    <t>Dev Team</t>
  </si>
  <si>
    <t>REQ-004</t>
  </si>
  <si>
    <t>auth,backend</t>
  </si>
  <si>
    <t>FDS-02</t>
  </si>
  <si>
    <t>JWT protects all routes</t>
  </si>
  <si>
    <t>As a developer, I want all non-auth routes protected by JWT middleware so that unauthorised users cannot access any data.</t>
  </si>
  <si>
    <t>Given no Authorization header, When any protected endpoint is called, Then 401
Given expired JWT, When any protected endpoint is called, Then 401
Given valid JWT, When any protected endpoint is called, Then request proceeds normally</t>
  </si>
  <si>
    <t>auth,backend,security</t>
  </si>
  <si>
    <t>FDS-03</t>
  </si>
  <si>
    <t>Task</t>
  </si>
  <si>
    <t>Auth middleware unit tests</t>
  </si>
  <si>
    <t>As a developer, I want unit tests for the auth middleware so that token validation logic is provably correct.</t>
  </si>
  <si>
    <t>Given valid token, authMiddleware calls next()
Given missing/invalid token, authMiddleware calls next with 401 error
Test coverage for auth.js &gt;= 90%</t>
  </si>
  <si>
    <t>testing,auth</t>
  </si>
  <si>
    <t>FDS-04</t>
  </si>
  <si>
    <t>Transactions</t>
  </si>
  <si>
    <t>View paginated transaction list</t>
  </si>
  <si>
    <t>As an ops analyst, I want to view a paginated list of transactions so that I can efficiently review them one page at a time.</t>
  </si>
  <si>
    <t>Given authenticated user, When GET /transactions, Then 200 with array of ≤50 transactions ordered by date DESC
Given page=2, When GET /transactions?page=2, Then correct offset applied
Given no token, When GET /transactions, Then 401
Transaction object includes: id, amount, date, merchant, account_id, status</t>
  </si>
  <si>
    <t>In Progress</t>
  </si>
  <si>
    <t>REQ-001</t>
  </si>
  <si>
    <t>transactions,backend</t>
  </si>
  <si>
    <t>FDS-05</t>
  </si>
  <si>
    <t>Mark transaction as fraud</t>
  </si>
  <si>
    <t>As an ops analyst, I want to mark a transaction as fraud so that it is flagged for further investigation and the decision is recorded.</t>
  </si>
  <si>
    <t>Given authenticated user, When PATCH /transactions/:id/status with { status: 'fraud' }, Then 200 with updated transaction
Given marking as fraud, Then one audit_log entry is written with new_status, marked_by, timestamp
Given invalid status value (e.g. 'FRAUD' uppercase), Then 400
Given non-existent transaction ID, Then 404</t>
  </si>
  <si>
    <t>REQ-002</t>
  </si>
  <si>
    <t>transactions,backend,audit</t>
  </si>
  <si>
    <t>FDS-06</t>
  </si>
  <si>
    <t>Mark transaction as legitimate</t>
  </si>
  <si>
    <t>As an ops analyst, I want to mark a transaction as legitimate so that it is cleared from review and the decision is recorded.</t>
  </si>
  <si>
    <t>Given authenticated user, When PATCH /transactions/:id/status with { status: 'legitimate' }, Then 200 with updated transaction
Given marking as legitimate, Then audit_log entry written
Given null status in body, Then 400
Given empty body, Then 400</t>
  </si>
  <si>
    <t>To Do</t>
  </si>
  <si>
    <t>FDS-07</t>
  </si>
  <si>
    <t>Transaction status badge display</t>
  </si>
  <si>
    <t>As an ops analyst, I want each transaction to show a clear status badge so that I can see at a glance which transactions still need review.</t>
  </si>
  <si>
    <t>Given status = 'unmarked', badge is grey ⚪
Given status = 'fraud', badge is red 🔴
Given status = 'legitimate', badge is green 🟢
Badge updates immediately on mark action (optimistic UI)</t>
  </si>
  <si>
    <t>ui,frontend</t>
  </si>
  <si>
    <t>FDS-08</t>
  </si>
  <si>
    <t>Bug</t>
  </si>
  <si>
    <t>Fix: transaction list not ordered newest first</t>
  </si>
  <si>
    <t>As an ops analyst, I want to always see the most recent transactions first so that I review the latest activity immediately on load.</t>
  </si>
  <si>
    <t>Given GET /transactions, response array is ordered by date DESC
Most recent transaction appears at index 0
Ordering is applied at the DB query level (not client-side sort)</t>
  </si>
  <si>
    <t>bug,transactions,backend</t>
  </si>
  <si>
    <t>FDS-09</t>
  </si>
  <si>
    <t>Transaction service unit tests</t>
  </si>
  <si>
    <t>As a developer, I want unit tests for transactionService so that all business logic is provably correct without HTTP.</t>
  </si>
  <si>
    <t>Tests for getList(): pagination, ordering, max 50 limit
Tests for updateStatus(): valid/invalid status, audit log write
Coverage for transactionService.js &gt;= 80%
Tests run without HTTP (direct service import)</t>
  </si>
  <si>
    <t>Sprint 2</t>
  </si>
  <si>
    <t>testing,transactions</t>
  </si>
  <si>
    <t>FDS-10</t>
  </si>
  <si>
    <t>Audit Trail</t>
  </si>
  <si>
    <t>View transaction audit trail</t>
  </si>
  <si>
    <t>As an ops analyst, I want to see the full audit trail for any transaction so that I can review the history of decisions made on it.</t>
  </si>
  <si>
    <t>Given authenticated user, When GET /transactions/:id/history, Then 200 with array of audit entries ordered newest first
Audit entry includes: id, transaction_id, new_status, marked_by, timestamp
Given no audit history, Then 200 with empty array
Given non-existent transaction ID, Then 404</t>
  </si>
  <si>
    <t>REQ-003</t>
  </si>
  <si>
    <t>audit,backend</t>
  </si>
  <si>
    <t>FDS-11</t>
  </si>
  <si>
    <t>Audit entry written on every status change</t>
  </si>
  <si>
    <t>As a compliance officer, I want every status change to be written to the audit log automatically so that no decision goes unrecorded.</t>
  </si>
  <si>
    <t>Every PATCH /transactions/:id/status creates exactly one audit_log row
Audit row includes: transaction_id, new_status, marked_by (from JWT), timestamp (server time)
Audit writes are transactional — if the status update fails, no audit entry is written
Audit entries are immutable — no DELETE or UPDATE on audit_log rows</t>
  </si>
  <si>
    <t>audit,backend,compliance</t>
  </si>
  <si>
    <t>FDS-12</t>
  </si>
  <si>
    <t>Collapsible audit trail in UI</t>
  </si>
  <si>
    <t>As an ops analyst, I want to expand an audit trail panel for any transaction without leaving the main list so that I can review history efficiently.</t>
  </si>
  <si>
    <t>Clicking a transaction row expands a collapsible audit panel below it
Panel fetches GET /transactions/:id/history on expand (not on page load)
Each entry shows: analyst name, new status, timestamp formatted as 'DD MMM YYYY HH:MM'
Panel collapses when clicked again</t>
  </si>
  <si>
    <t>Should Have</t>
  </si>
  <si>
    <t>audit,ui,frontend</t>
  </si>
  <si>
    <t>FDS-13</t>
  </si>
  <si>
    <t>Audit log DB migration</t>
  </si>
  <si>
    <t>As a developer, I want the audit_log table created by a migration script so that DB setup is repeatable and version-controlled.</t>
  </si>
  <si>
    <t>Migration creates table: audit_log (id TEXT PK, transaction_id TEXT, new_status TEXT, marked_by TEXT, timestamp TEXT)
Migration is idempotent (safe to run twice)
Migration script lives in db/migrations/</t>
  </si>
  <si>
    <t>database,setup</t>
  </si>
  <si>
    <t>FDS-14</t>
  </si>
  <si>
    <t>Security</t>
  </si>
  <si>
    <t>Parameterised DB queries (SQL injection prevention)</t>
  </si>
  <si>
    <t>As a developer, I want all database queries to use parameterised statements so that SQL injection attacks are impossible.</t>
  </si>
  <si>
    <t>All DB queries in db/ layer use ? placeholders, never string interpolation
SonarQube scan shows zero SQL injection warnings
Code review checklist includes: 'All DB queries parameterised?'</t>
  </si>
  <si>
    <t>security,backend</t>
  </si>
  <si>
    <t>FDS-15</t>
  </si>
  <si>
    <t>Status enum validation on PATCH endpoint</t>
  </si>
  <si>
    <t>As a developer, I want PATCH /transactions/:id/status to reject any status value not in the approved list so that invalid data cannot enter the system.</t>
  </si>
  <si>
    <t>Given status = 'fraud', Then 200 — accepted
Given status = 'legitimate', Then 200 — accepted
Given status = 'FRAUD' (wrong case), Then 400
Given status = 'deleted', Then 400
Given status = null, Then 400
Given status = '' (empty string), Then 400</t>
  </si>
  <si>
    <t>security,validation,backend</t>
  </si>
  <si>
    <t>FDS-16</t>
  </si>
  <si>
    <t>No stack traces in error responses</t>
  </si>
  <si>
    <t>As a developer, I want error responses to return clean JSON without stack traces so that internal implementation details are not exposed to clients.</t>
  </si>
  <si>
    <t>Given any unhandled error, API returns { error: 'Internal server error' } with 500
Stack trace is logged server-side but never returned in response body
SonarQube scan shows zero sensitive data exposure warnings</t>
  </si>
  <si>
    <t>FDS-17</t>
  </si>
  <si>
    <t>Fix: SonarQube Critical — hardcoded JWT secret</t>
  </si>
  <si>
    <t>As a developer, I want the JWT secret loaded from environment variables so that it is not exposed in source code.</t>
  </si>
  <si>
    <t>JWT_SECRET read from process.env.JWT_SECRET
.env file added to .gitignore
SonarQube scan shows zero hardcoded credential warnings
App fails to start with clear error if JWT_SECRET not set</t>
  </si>
  <si>
    <t>bug,security,critical</t>
  </si>
  <si>
    <t>FDS-18</t>
  </si>
  <si>
    <t>User Interface</t>
  </si>
  <si>
    <t>Transaction table renders on load</t>
  </si>
  <si>
    <t>As an ops analyst, I want the transaction list to load automatically when I open the app so that I can start reviewing immediately.</t>
  </si>
  <si>
    <t>On page load, GET /transactions is called automatically
Table renders with columns: Date, Merchant, Account ID, Amount, Status
Loading spinner shown while fetching
Empty state message shown if no transactions returned</t>
  </si>
  <si>
    <t>FDS-19</t>
  </si>
  <si>
    <t>Fraud / Legitimate action buttons per row</t>
  </si>
  <si>
    <t>As an ops analyst, I want Fraud and Legitimate buttons on each transaction row so that I can mark decisions without navigating away from the list.</t>
  </si>
  <si>
    <t>Each row has two buttons: 'Mark Fraud' and 'Mark Legitimate'
Clicking a button triggers PATCH /transactions/:id/status
Optimistic UI: status badge updates immediately before response
On API error: badge reverts and error toast is shown
Buttons disabled while request is in-flight</t>
  </si>
  <si>
    <t>FDS-20</t>
  </si>
  <si>
    <t>UI Design — styling sprint</t>
  </si>
  <si>
    <t>As an ops analyst, I want the interface to be visually clear and density-appropriate so that I can review many transactions quickly without eye strain.</t>
  </si>
  <si>
    <t>Max 3 brand colours used
Status badges are visually distinct at a glance (colour + icon)
Table row height allows 20+ rows visible without scrolling on a 1080p monitor
UI passes basic accessibility check (colour contrast &gt;= 4.5:1)</t>
  </si>
  <si>
    <t>ui,design,frontend</t>
  </si>
  <si>
    <t>FDS-21</t>
  </si>
  <si>
    <t>Setup &amp; Config</t>
  </si>
  <si>
    <t>Project scaffold — folder structure</t>
  </si>
  <si>
    <t>As a developer, I want the agreed folder structure committed to main so that all developers follow the same architecture from Day 1.</t>
  </si>
  <si>
    <t>Folders created: routes/, controllers/, services/, db/, middleware/, views/, agents/, tests/, spec/
Each folder has an index.js or .gitkeep
README.md documents the layering rule: routes→controllers→services→db</t>
  </si>
  <si>
    <t>setup,architecture</t>
  </si>
  <si>
    <t>FDS-22</t>
  </si>
  <si>
    <t>SQLite DB migrations — transactions table</t>
  </si>
  <si>
    <t>As a developer, I want the transactions table created by a migration script so that DB setup is repeatable.</t>
  </si>
  <si>
    <t>Migration creates: transactions (id TEXT PK, amount REAL, date TEXT, merchant TEXT, account_id TEXT, status TEXT DEFAULT 'unmarked')
Migration is idempotent
Seed script inserts 20 test transactions with mixed statuses</t>
  </si>
  <si>
    <t>FDS-23</t>
  </si>
  <si>
    <t>Seed data — 20 test transactions</t>
  </si>
  <si>
    <t>As a developer, I want 20 realistic seed transactions so that the app can be demoed without manual data entry.</t>
  </si>
  <si>
    <t>20 transactions with: realistic merchant names, varied amounts ($12–$4200), mixed statuses (unmarked/fraud/legitimate), dates spanning last 30 days
Seed script: npm run seed
Seed is safe to run multiple times (clears and re-inserts)</t>
  </si>
  <si>
    <t>setup,data</t>
  </si>
  <si>
    <t>FDS-24</t>
  </si>
  <si>
    <t>GitHub Actions CI pipeline</t>
  </si>
  <si>
    <t>As a developer, I want a CI pipeline that runs tests on every PR so that broken code cannot be merged to main.</t>
  </si>
  <si>
    <t>GitHub Actions workflow: triggers on PR to main
Runs: npm install → npm test
Fails build if any test fails
Fails build if coverage drops below 70%</t>
  </si>
  <si>
    <t>ci,devops,testing</t>
  </si>
  <si>
    <t>FDS-25</t>
  </si>
  <si>
    <t>Operating Model documentation</t>
  </si>
  <si>
    <t>As a new team member, I want a complete Operating Model document so that I can run and maintain the system without asking the original developers.</t>
  </si>
  <si>
    <t>Sections: Pipeline Overview, Agent Config Guide, Environment Setup, Day-by-Day Run Guide, Troubleshooting (10 most common failures), Version History
Environment setup steps verified on a fresh machine
All agent system prompts documented with example inputs/outputs</t>
  </si>
  <si>
    <t>documentation,delivery</t>
  </si>
  <si>
    <t>FRAUD DETECTION SYSTEM  —  Sprint Board</t>
  </si>
  <si>
    <t>Epic / Story ID</t>
  </si>
  <si>
    <t>Blocked</t>
  </si>
  <si>
    <t xml:space="preserve">  EPIC: AUTHENTICATION</t>
  </si>
  <si>
    <t>[FDS-01] Login as ops analyst
REQ-004  ·  3 pts  ·  Must Have</t>
  </si>
  <si>
    <t>[FDS-02] JWT protects all routes
REQ-004  ·  2 pts  ·  Must Have</t>
  </si>
  <si>
    <t>[FDS-03] Auth middleware unit tests
REQ-004  ·  2 pts  ·  Must Have</t>
  </si>
  <si>
    <t xml:space="preserve">  EPIC: TRANSACTIONS</t>
  </si>
  <si>
    <t>[FDS-04] View paginated transaction list
REQ-001  ·  5 pts  ·  Must Have</t>
  </si>
  <si>
    <t>[FDS-05] Mark transaction as fraud
REQ-002  ·  5 pts  ·  Must Have</t>
  </si>
  <si>
    <t>[FDS-06] Mark transaction as legitimate
REQ-002  ·  3 pts  ·  Must Have</t>
  </si>
  <si>
    <t>[FDS-07] Transaction status badge display
REQ-001  ·  3 pts  ·  Must Have</t>
  </si>
  <si>
    <t>[FDS-08] Fix: transaction list not ordered newest first
REQ-001  ·  1 pts  ·  Must Have</t>
  </si>
  <si>
    <t>[FDS-09] Transaction service unit tests
REQ-001  ·  3 pts  ·  Must Have</t>
  </si>
  <si>
    <t xml:space="preserve">  EPIC: AUDIT TRAIL</t>
  </si>
  <si>
    <t>[FDS-10] View transaction audit trail
REQ-003  ·  3 pts  ·  Must Have</t>
  </si>
  <si>
    <t>[FDS-11] Audit entry written on every status change
REQ-003  ·  3 pts  ·  Must Have</t>
  </si>
  <si>
    <t>[FDS-12] Collapsible audit trail in UI
REQ-003  ·  3 pts  ·  Should Have</t>
  </si>
  <si>
    <t>[FDS-13] Audit log DB migration
REQ-003  ·  1 pts  ·  Must Have</t>
  </si>
  <si>
    <t xml:space="preserve">  EPIC: SECURITY</t>
  </si>
  <si>
    <t>[FDS-14] Parameterised DB queries (SQL injection prevention)
REQ-004  ·  2 pts  ·  Must Have</t>
  </si>
  <si>
    <t>[FDS-15] Status enum validation on PATCH endpoint
REQ-002  ·  2 pts  ·  Must Have</t>
  </si>
  <si>
    <t>[FDS-16] No stack traces in error responses
REQ-004  ·  1 pts  ·  Must Have</t>
  </si>
  <si>
    <t>[FDS-17] Fix: SonarQube Critical — hardcoded JWT secret
REQ-004  ·  1 pts  ·  Must Have</t>
  </si>
  <si>
    <t xml:space="preserve">  EPIC: USER INTERFACE</t>
  </si>
  <si>
    <t>[FDS-18] Transaction table renders on load
REQ-001  ·  3 pts  ·  Must Have</t>
  </si>
  <si>
    <t>[FDS-19] Fraud / Legitimate action buttons per row
REQ-002  ·  5 pts  ·  Must Have</t>
  </si>
  <si>
    <t>[FDS-20] UI Design — styling sprint
REQ-001  ·  3 pts  ·  Should Have</t>
  </si>
  <si>
    <t xml:space="preserve">  EPIC: SETUP &amp; CONFIG</t>
  </si>
  <si>
    <t>[FDS-21] Project scaffold — folder structure
REQ-004  ·  1 pts  ·  Must Have</t>
  </si>
  <si>
    <t>[FDS-22] SQLite DB migrations — transactions table
REQ-001  ·  1 pts  ·  Must Have</t>
  </si>
  <si>
    <t>[FDS-23] Seed data — 20 test transactions
REQ-001  ·  1 pts  ·  Must Have</t>
  </si>
  <si>
    <t>[FDS-24] GitHub Actions CI pipeline
REQ-004  ·  2 pts  ·  Must Have</t>
  </si>
  <si>
    <t>[FDS-25] Operating Model documentation
REQ-004  ·  5 pts  ·  Must Have</t>
  </si>
  <si>
    <t>SPRINT TOTALS</t>
  </si>
  <si>
    <t>15 stories</t>
  </si>
  <si>
    <t>2 stories</t>
  </si>
  <si>
    <t>8 stories</t>
  </si>
  <si>
    <t>FRAUD DETECTION SYSTEM  —  Epic Summary</t>
  </si>
  <si>
    <t>Colour</t>
  </si>
  <si>
    <t>Stories</t>
  </si>
  <si>
    <t>AUTH</t>
  </si>
  <si>
    <t>TXN</t>
  </si>
  <si>
    <t>AUDIT</t>
  </si>
  <si>
    <t>SEC</t>
  </si>
  <si>
    <t>UI</t>
  </si>
  <si>
    <t>SETUP</t>
  </si>
  <si>
    <t>TOTAL</t>
  </si>
  <si>
    <t>FRAUD DETECTION SYSTEM  —  Requirements Traceability Matrix</t>
  </si>
  <si>
    <t>Title</t>
  </si>
  <si>
    <t>Description</t>
  </si>
  <si>
    <t>Covered By (Stories)</t>
  </si>
  <si>
    <t>Test Cases</t>
  </si>
  <si>
    <t>View transaction list</t>
  </si>
  <si>
    <t>Authenticated ops analysts can view a paginated list of transactions, max 50 per page, ordered newest first.</t>
  </si>
  <si>
    <t>FDS-04, FDS-07, FDS-08, FDS-09, FDS-18, FDS-22, FDS-23</t>
  </si>
  <si>
    <t>TC-001+</t>
  </si>
  <si>
    <t>Mark transaction status</t>
  </si>
  <si>
    <t>Analysts can mark any transaction as fraud or legitimate. Every status change writes one audit log entry.</t>
  </si>
  <si>
    <t>FDS-05, FDS-06, FDS-07, FDS-15, FDS-19</t>
  </si>
  <si>
    <t>TC-002+</t>
  </si>
  <si>
    <t>Audit trail</t>
  </si>
  <si>
    <t>Every status change is recorded. Analysts can view full history of decisions for any transaction.</t>
  </si>
  <si>
    <t>FDS-10, FDS-11, FDS-12, FDS-13</t>
  </si>
  <si>
    <t>TC-003+</t>
  </si>
  <si>
    <t>Authentication &amp; security</t>
  </si>
  <si>
    <t>All routes protected by JWT. No hardcoded secrets. Parameterised DB queries. No stack traces in responses.</t>
  </si>
  <si>
    <t>FDS-01, FDS-02, FDS-03, FDS-14, FDS-15, FDS-16, FDS-17, FDS-21, FDS-24, FDS-25</t>
  </si>
  <si>
    <t>TC-004+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</si>
</sst>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1"/>
      <color rgb="FFFFFFFF"/>
      <name val="Arial"/>
      <charset val="1"/>
    </font>
    <font>
      <b/>
      <sz val="9"/>
      <color rgb="FF64748B"/>
      <name val="Arial"/>
      <charset val="1"/>
    </font>
    <font>
      <sz val="9"/>
      <color rgb="FF1E293B"/>
      <name val="Arial"/>
      <charset val="1"/>
    </font>
    <font>
      <b/>
      <sz val="9"/>
      <color rgb="FFFFFFFF"/>
      <name val="Arial"/>
      <charset val="1"/>
    </font>
    <font>
      <b/>
      <sz val="9"/>
      <color rgb="FF00A1DE"/>
      <name val="Arial"/>
      <charset val="1"/>
    </font>
    <font>
      <b/>
      <sz val="8"/>
      <color rgb="FFFFFFFF"/>
      <name val="Arial"/>
      <charset val="1"/>
    </font>
    <font>
      <b/>
      <sz val="9"/>
      <color rgb="FF1E293B"/>
      <name val="Arial"/>
      <charset val="1"/>
    </font>
    <font>
      <sz val="9"/>
      <color rgb="FF334155"/>
      <name val="Arial"/>
      <charset val="1"/>
    </font>
    <font>
      <sz val="9"/>
      <color rgb="FF64748B"/>
      <name val="Arial"/>
      <charset val="1"/>
    </font>
    <font>
      <b/>
      <sz val="9"/>
      <color rgb="FF002776"/>
      <name val="Arial"/>
      <charset val="1"/>
    </font>
    <font>
      <b/>
      <sz val="8"/>
      <color rgb="FF1E293B"/>
      <name val="Arial"/>
      <charset val="1"/>
    </font>
    <font>
      <sz val="8"/>
      <color rgb="FF1E293B"/>
      <name val="Arial"/>
      <charset val="1"/>
    </font>
    <font>
      <b/>
      <sz val="9"/>
      <color rgb="FFF59E0B"/>
      <name val="Arial"/>
      <charset val="1"/>
    </font>
    <font>
      <b/>
      <sz val="9"/>
      <color rgb="FFE84C3D"/>
      <name val="Arial"/>
      <charset val="1"/>
    </font>
    <font>
      <b/>
      <sz val="9"/>
      <color rgb="FF92D400"/>
      <name val="Arial"/>
      <charset val="1"/>
    </font>
  </fonts>
  <fills count="14">
    <fill>
      <patternFill patternType="none"/>
    </fill>
    <fill>
      <patternFill patternType="gray125"/>
    </fill>
    <fill>
      <patternFill patternType="solid">
        <fgColor rgb="FF1E293B"/>
        <bgColor rgb="FF1E3A5F"/>
      </patternFill>
    </fill>
    <fill>
      <patternFill patternType="solid">
        <fgColor rgb="FFF8FAFC"/>
        <bgColor rgb="FFFFFFFF"/>
      </patternFill>
    </fill>
    <fill>
      <patternFill patternType="solid">
        <fgColor rgb="FF002776"/>
        <bgColor rgb="FF1E3A5F"/>
      </patternFill>
    </fill>
    <fill>
      <patternFill patternType="solid">
        <fgColor rgb="FF00A1DE"/>
        <bgColor rgb="FF008080"/>
      </patternFill>
    </fill>
    <fill>
      <patternFill patternType="solid">
        <fgColor rgb="FFE84C3D"/>
        <bgColor rgb="FFFF8080"/>
      </patternFill>
    </fill>
    <fill>
      <patternFill patternType="solid">
        <fgColor rgb="FF16A34A"/>
        <bgColor rgb="FF008080"/>
      </patternFill>
    </fill>
    <fill>
      <patternFill patternType="solid">
        <fgColor rgb="FFFFFFFF"/>
        <bgColor rgb="FFF8FAFC"/>
      </patternFill>
    </fill>
    <fill>
      <patternFill patternType="solid">
        <fgColor rgb="FFF59E0B"/>
        <bgColor rgb="FFFFCC00"/>
      </patternFill>
    </fill>
    <fill>
      <patternFill patternType="solid">
        <fgColor rgb="FFE2E8F0"/>
        <bgColor rgb="FFF1F5F9"/>
      </patternFill>
    </fill>
    <fill>
      <patternFill patternType="solid">
        <fgColor rgb="FF92D400"/>
        <bgColor rgb="FFFFCC00"/>
      </patternFill>
    </fill>
    <fill>
      <patternFill patternType="solid">
        <fgColor rgb="FF64748B"/>
        <bgColor rgb="FF808080"/>
      </patternFill>
    </fill>
    <fill>
      <patternFill patternType="solid">
        <fgColor rgb="FFF1F5F9"/>
        <bgColor rgb="FFF8FAFC"/>
      </patternFill>
    </fill>
  </fills>
  <borders count="10">
    <border>
      <left/>
      <right/>
      <top/>
      <bottom/>
      <diagonal/>
    </border>
    <border>
      <left style="thin">
        <color rgb="FFE2E8F0"/>
      </left>
      <right style="thin">
        <color rgb="FFE2E8F0"/>
      </right>
      <top style="thin">
        <color rgb="FFE2E8F0"/>
      </top>
      <bottom style="thin">
        <color rgb="FFE2E8F0"/>
      </bottom>
      <diagonal/>
    </border>
    <border>
      <left/>
      <right style="thin">
        <color rgb="FF1E3A5F"/>
      </right>
      <top/>
      <bottom style="medium">
        <color rgb="FF00A1DE"/>
      </bottom>
      <diagonal/>
    </border>
    <border>
      <left style="thin">
        <color rgb="FFD1D5DB"/>
      </left>
      <right style="thin">
        <color rgb="FFD1D5DB"/>
      </right>
      <top style="thin">
        <color rgb="FFD1D5DB"/>
      </top>
      <bottom style="thin">
        <color rgb="FFD1D5DB"/>
      </bottom>
      <diagonal/>
    </border>
    <border>
      <left style="thin">
        <color rgb="FF002776"/>
      </left>
      <right style="thin">
        <color rgb="FF002776"/>
      </right>
      <top style="thin">
        <color rgb="FF002776"/>
      </top>
      <bottom style="thin">
        <color rgb="FF002776"/>
      </bottom>
      <diagonal/>
    </border>
    <border>
      <left style="thin">
        <color rgb="FF00A1DE"/>
      </left>
      <right style="thin">
        <color rgb="FF00A1DE"/>
      </right>
      <top style="thin">
        <color rgb="FF00A1DE"/>
      </top>
      <bottom style="thin">
        <color rgb="FF00A1DE"/>
      </bottom>
      <diagonal/>
    </border>
    <border>
      <left style="thin">
        <color rgb="FFF59E0B"/>
      </left>
      <right style="thin">
        <color rgb="FFF59E0B"/>
      </right>
      <top style="thin">
        <color rgb="FFF59E0B"/>
      </top>
      <bottom style="thin">
        <color rgb="FFF59E0B"/>
      </bottom>
      <diagonal/>
    </border>
    <border>
      <left style="thin">
        <color rgb="FFE84C3D"/>
      </left>
      <right style="thin">
        <color rgb="FFE84C3D"/>
      </right>
      <top style="thin">
        <color rgb="FFE84C3D"/>
      </top>
      <bottom style="thin">
        <color rgb="FFE84C3D"/>
      </bottom>
      <diagonal/>
    </border>
    <border>
      <left style="thin">
        <color rgb="FF92D400"/>
      </left>
      <right style="thin">
        <color rgb="FF92D400"/>
      </right>
      <top style="thin">
        <color rgb="FF92D400"/>
      </top>
      <bottom style="thin">
        <color rgb="FF92D400"/>
      </bottom>
      <diagonal/>
    </border>
    <border>
      <left style="thin">
        <color rgb="FF64748B"/>
      </left>
      <right style="thin">
        <color rgb="FF64748B"/>
      </right>
      <top style="thin">
        <color rgb="FF64748B"/>
      </top>
      <bottom style="thin">
        <color rgb="FF64748B"/>
      </bottom>
      <diagonal/>
    </border>
  </borders>
  <cellStyleXfs count="1">
    <xf numFmtId="0" fontId="0" fillId="0" borderId="0"/>
  </cellStyleXfs>
  <cellXfs count="68">
    <xf numFmtId="0" fontId="0" fillId="0" borderId="0" xfId="0"/>
    <xf numFmtId="0" fontId="4" fillId="12" borderId="0" xfId="0" applyFont="1" applyFill="1" applyAlignment="1">
      <alignment horizontal="left" vertical="center"/>
    </xf>
    <xf numFmtId="0" fontId="4" fillId="11" borderId="0" xfId="0" applyFont="1" applyFill="1" applyAlignment="1">
      <alignment horizontal="left" vertical="center"/>
    </xf>
    <xf numFmtId="0" fontId="4" fillId="6" borderId="0" xfId="0" applyFont="1" applyFill="1" applyAlignment="1">
      <alignment horizontal="left" vertical="center"/>
    </xf>
    <xf numFmtId="0" fontId="4" fillId="9" borderId="0" xfId="0" applyFont="1" applyFill="1" applyAlignment="1">
      <alignment horizontal="left" vertical="center"/>
    </xf>
    <xf numFmtId="0" fontId="4" fillId="5" borderId="0" xfId="0" applyFont="1" applyFill="1" applyAlignment="1">
      <alignment horizontal="left" vertical="center"/>
    </xf>
    <xf numFmtId="0" fontId="4" fillId="4" borderId="0" xfId="0" applyFont="1" applyFill="1" applyAlignment="1">
      <alignment horizontal="left" vertical="center"/>
    </xf>
    <xf numFmtId="0" fontId="1" fillId="2" borderId="0" xfId="0" applyFont="1" applyFill="1" applyAlignment="1">
      <alignment horizontal="left" vertical="center"/>
    </xf>
    <xf numFmtId="0" fontId="2" fillId="3" borderId="1" xfId="0" applyFont="1" applyFill="1" applyBorder="1" applyAlignment="1">
      <alignment horizontal="left" vertical="center"/>
    </xf>
    <xf numFmtId="0" fontId="3" fillId="3" borderId="1" xfId="0" applyFont="1" applyFill="1" applyBorder="1" applyAlignment="1">
      <alignment horizontal="left" vertical="center"/>
    </xf>
    <xf numFmtId="0" fontId="4" fillId="4" borderId="2" xfId="0" applyFont="1" applyFill="1" applyBorder="1" applyAlignment="1">
      <alignment horizontal="center" vertical="center"/>
    </xf>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7" fillId="3" borderId="1" xfId="0" applyFont="1" applyFill="1" applyBorder="1" applyAlignment="1">
      <alignment horizontal="left" vertical="center"/>
    </xf>
    <xf numFmtId="0" fontId="8" fillId="3" borderId="1" xfId="0" applyFont="1" applyFill="1" applyBorder="1" applyAlignment="1">
      <alignment horizontal="left" vertical="center" wrapText="1"/>
    </xf>
    <xf numFmtId="0" fontId="6" fillId="6" borderId="1" xfId="0" applyFont="1" applyFill="1" applyBorder="1" applyAlignment="1">
      <alignment horizontal="center" vertical="center"/>
    </xf>
    <xf numFmtId="0" fontId="7" fillId="3" borderId="1" xfId="0" applyFont="1" applyFill="1" applyBorder="1" applyAlignment="1">
      <alignment horizontal="center" vertical="center"/>
    </xf>
    <xf numFmtId="0" fontId="6" fillId="7"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1" xfId="0" applyFont="1" applyFill="1" applyBorder="1" applyAlignment="1">
      <alignment horizontal="left" vertical="center"/>
    </xf>
    <xf numFmtId="0" fontId="10" fillId="3" borderId="1" xfId="0" applyFont="1" applyFill="1" applyBorder="1" applyAlignment="1">
      <alignment horizontal="center" vertical="center"/>
    </xf>
    <xf numFmtId="0" fontId="5" fillId="8" borderId="1" xfId="0" applyFont="1" applyFill="1" applyBorder="1" applyAlignment="1">
      <alignment horizontal="center" vertical="center"/>
    </xf>
    <xf numFmtId="0" fontId="7" fillId="8" borderId="1" xfId="0" applyFont="1" applyFill="1" applyBorder="1" applyAlignment="1">
      <alignment horizontal="left" vertical="center"/>
    </xf>
    <xf numFmtId="0" fontId="8" fillId="8" borderId="1" xfId="0" applyFont="1" applyFill="1" applyBorder="1" applyAlignment="1">
      <alignment horizontal="left" vertical="center" wrapText="1"/>
    </xf>
    <xf numFmtId="0" fontId="7" fillId="8" borderId="1" xfId="0" applyFont="1" applyFill="1" applyBorder="1" applyAlignment="1">
      <alignment horizontal="center" vertical="center"/>
    </xf>
    <xf numFmtId="0" fontId="9" fillId="8" borderId="1" xfId="0" applyFont="1" applyFill="1" applyBorder="1" applyAlignment="1">
      <alignment horizontal="center" vertical="center"/>
    </xf>
    <xf numFmtId="0" fontId="9" fillId="8" borderId="1" xfId="0" applyFont="1" applyFill="1" applyBorder="1" applyAlignment="1">
      <alignment horizontal="left" vertical="center"/>
    </xf>
    <xf numFmtId="0" fontId="10" fillId="8" borderId="1" xfId="0" applyFont="1" applyFill="1" applyBorder="1" applyAlignment="1">
      <alignment horizontal="center" vertical="center"/>
    </xf>
    <xf numFmtId="0" fontId="11" fillId="9" borderId="1" xfId="0" applyFont="1" applyFill="1" applyBorder="1" applyAlignment="1">
      <alignment horizontal="center" vertical="center"/>
    </xf>
    <xf numFmtId="0" fontId="11" fillId="10" borderId="1" xfId="0" applyFont="1" applyFill="1" applyBorder="1" applyAlignment="1">
      <alignment horizontal="center" vertical="center"/>
    </xf>
    <xf numFmtId="0" fontId="6" fillId="9" borderId="1" xfId="0" applyFont="1" applyFill="1" applyBorder="1" applyAlignment="1">
      <alignment horizontal="center" vertical="center"/>
    </xf>
    <xf numFmtId="0" fontId="6" fillId="11" borderId="1" xfId="0" applyFont="1" applyFill="1" applyBorder="1" applyAlignment="1">
      <alignment horizontal="center" vertical="center"/>
    </xf>
    <xf numFmtId="0" fontId="6" fillId="12" borderId="1" xfId="0" applyFont="1" applyFill="1" applyBorder="1" applyAlignment="1">
      <alignment horizontal="center" vertical="center"/>
    </xf>
    <xf numFmtId="0" fontId="4" fillId="2" borderId="3" xfId="0" applyFont="1" applyFill="1" applyBorder="1" applyAlignment="1">
      <alignment horizontal="center" vertical="center"/>
    </xf>
    <xf numFmtId="0" fontId="7" fillId="10" borderId="3" xfId="0" applyFont="1" applyFill="1" applyBorder="1" applyAlignment="1">
      <alignment horizontal="center" vertical="center"/>
    </xf>
    <xf numFmtId="0" fontId="4" fillId="5" borderId="3" xfId="0" applyFont="1" applyFill="1" applyBorder="1" applyAlignment="1">
      <alignment horizontal="center" vertical="center"/>
    </xf>
    <xf numFmtId="0" fontId="4" fillId="7" borderId="3" xfId="0" applyFont="1" applyFill="1" applyBorder="1" applyAlignment="1">
      <alignment horizontal="center" vertical="center"/>
    </xf>
    <xf numFmtId="0" fontId="4" fillId="6" borderId="3" xfId="0" applyFont="1" applyFill="1" applyBorder="1" applyAlignment="1">
      <alignment horizontal="center" vertical="center"/>
    </xf>
    <xf numFmtId="0" fontId="0" fillId="3" borderId="1" xfId="0" applyFill="1" applyBorder="1"/>
    <xf numFmtId="0" fontId="12" fillId="8" borderId="4" xfId="0" applyFont="1" applyFill="1" applyBorder="1" applyAlignment="1">
      <alignment horizontal="left" vertical="top" wrapText="1"/>
    </xf>
    <xf numFmtId="0" fontId="0" fillId="13" borderId="1" xfId="0" applyFill="1" applyBorder="1"/>
    <xf numFmtId="0" fontId="12" fillId="8" borderId="5" xfId="0" applyFont="1" applyFill="1" applyBorder="1" applyAlignment="1">
      <alignment horizontal="left" vertical="top" wrapText="1"/>
    </xf>
    <xf numFmtId="0" fontId="12" fillId="8" borderId="6" xfId="0" applyFont="1" applyFill="1" applyBorder="1" applyAlignment="1">
      <alignment horizontal="left" vertical="top" wrapText="1"/>
    </xf>
    <xf numFmtId="0" fontId="12" fillId="8" borderId="7" xfId="0" applyFont="1" applyFill="1" applyBorder="1" applyAlignment="1">
      <alignment horizontal="left" vertical="top" wrapText="1"/>
    </xf>
    <xf numFmtId="0" fontId="12" fillId="8" borderId="8" xfId="0" applyFont="1" applyFill="1" applyBorder="1" applyAlignment="1">
      <alignment horizontal="left" vertical="top" wrapText="1"/>
    </xf>
    <xf numFmtId="0" fontId="12" fillId="8" borderId="9" xfId="0" applyFont="1" applyFill="1" applyBorder="1" applyAlignment="1">
      <alignment horizontal="left" vertical="top" wrapText="1"/>
    </xf>
    <xf numFmtId="0" fontId="4" fillId="2" borderId="0" xfId="0" applyFont="1" applyFill="1" applyAlignment="1">
      <alignment horizontal="center" vertical="center"/>
    </xf>
    <xf numFmtId="0" fontId="4" fillId="10" borderId="0" xfId="0" applyFont="1" applyFill="1" applyAlignment="1">
      <alignment horizontal="center" vertical="center"/>
    </xf>
    <xf numFmtId="0" fontId="4" fillId="5" borderId="0" xfId="0" applyFont="1" applyFill="1" applyAlignment="1">
      <alignment horizontal="center" vertical="center"/>
    </xf>
    <xf numFmtId="0" fontId="4" fillId="7" borderId="0" xfId="0" applyFont="1" applyFill="1" applyAlignment="1">
      <alignment horizontal="center" vertical="center"/>
    </xf>
    <xf numFmtId="0" fontId="4" fillId="4" borderId="3" xfId="0" applyFont="1" applyFill="1" applyBorder="1" applyAlignment="1">
      <alignment horizontal="center" vertical="center"/>
    </xf>
    <xf numFmtId="0" fontId="3" fillId="8" borderId="1" xfId="0" applyFont="1" applyFill="1" applyBorder="1" applyAlignment="1">
      <alignment horizontal="center" vertical="center"/>
    </xf>
    <xf numFmtId="0" fontId="3" fillId="3" borderId="1" xfId="0" applyFont="1" applyFill="1" applyBorder="1" applyAlignment="1">
      <alignment horizontal="center" vertical="center"/>
    </xf>
    <xf numFmtId="0" fontId="13" fillId="8" borderId="1" xfId="0" applyFont="1" applyFill="1" applyBorder="1" applyAlignment="1">
      <alignment horizontal="center" vertical="center"/>
    </xf>
    <xf numFmtId="0" fontId="14" fillId="3" borderId="1" xfId="0" applyFont="1" applyFill="1" applyBorder="1" applyAlignment="1">
      <alignment horizontal="center" vertical="center"/>
    </xf>
    <xf numFmtId="0" fontId="15" fillId="8" borderId="1" xfId="0" applyFont="1" applyFill="1" applyBorder="1" applyAlignment="1">
      <alignment horizontal="center" vertical="center"/>
    </xf>
    <xf numFmtId="0" fontId="2" fillId="3" borderId="1" xfId="0" applyFont="1" applyFill="1" applyBorder="1" applyAlignment="1">
      <alignment horizontal="center" vertical="center"/>
    </xf>
    <xf numFmtId="0" fontId="4" fillId="4" borderId="0" xfId="0" applyFont="1" applyFill="1" applyAlignment="1">
      <alignment horizontal="center" vertical="center"/>
    </xf>
    <xf numFmtId="0" fontId="4" fillId="5" borderId="1" xfId="0" applyFont="1" applyFill="1" applyBorder="1" applyAlignment="1">
      <alignment horizontal="center" vertical="center"/>
    </xf>
    <xf numFmtId="0" fontId="5"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4" fillId="9" borderId="1" xfId="0" applyFont="1" applyFill="1" applyBorder="1" applyAlignment="1">
      <alignment horizontal="center" vertical="center"/>
    </xf>
    <xf numFmtId="0" fontId="13" fillId="3" borderId="1" xfId="0" applyFont="1" applyFill="1" applyBorder="1" applyAlignment="1">
      <alignment horizontal="left" vertical="center"/>
    </xf>
    <xf numFmtId="0" fontId="4" fillId="6" borderId="1" xfId="0" applyFont="1" applyFill="1" applyBorder="1" applyAlignment="1">
      <alignment horizontal="center" vertical="center"/>
    </xf>
    <xf numFmtId="0" fontId="14" fillId="3" borderId="1" xfId="0" applyFont="1" applyFill="1" applyBorder="1" applyAlignment="1">
      <alignment horizontal="left" vertical="center"/>
    </xf>
    <xf numFmtId="0" fontId="4" fillId="4" borderId="1" xfId="0" applyFont="1" applyFill="1" applyBorder="1" applyAlignment="1">
      <alignment horizontal="center" vertical="center"/>
    </xf>
    <xf numFmtId="0" fontId="10"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AFC"/>
      <rgbColor rgb="FFF1F5F9"/>
      <rgbColor rgb="FF660066"/>
      <rgbColor rgb="FFFF8080"/>
      <rgbColor rgb="FF0066CC"/>
      <rgbColor rgb="FFD1D5DB"/>
      <rgbColor rgb="FF000080"/>
      <rgbColor rgb="FFFF00FF"/>
      <rgbColor rgb="FFFFFF00"/>
      <rgbColor rgb="FF00FFFF"/>
      <rgbColor rgb="FF800080"/>
      <rgbColor rgb="FF800000"/>
      <rgbColor rgb="FF008080"/>
      <rgbColor rgb="FF0000FF"/>
      <rgbColor rgb="FF00A1DE"/>
      <rgbColor rgb="FFE2E8F0"/>
      <rgbColor rgb="FFCCFFCC"/>
      <rgbColor rgb="FFFFFF99"/>
      <rgbColor rgb="FF99CCFF"/>
      <rgbColor rgb="FFFF99CC"/>
      <rgbColor rgb="FFCC99FF"/>
      <rgbColor rgb="FFFFCC99"/>
      <rgbColor rgb="FF3366FF"/>
      <rgbColor rgb="FF33CCCC"/>
      <rgbColor rgb="FF92D400"/>
      <rgbColor rgb="FFFFCC00"/>
      <rgbColor rgb="FFF59E0B"/>
      <rgbColor rgb="FFE84C3D"/>
      <rgbColor rgb="FF64748B"/>
      <rgbColor rgb="FF969696"/>
      <rgbColor rgb="FF002776"/>
      <rgbColor rgb="FF16A34A"/>
      <rgbColor rgb="FF003300"/>
      <rgbColor rgb="FF334155"/>
      <rgbColor rgb="FF993300"/>
      <rgbColor rgb="FF993366"/>
      <rgbColor rgb="FF1E3A5F"/>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776"/>
    <pageSetUpPr fitToPage="1"/>
  </sheetPr>
  <dimension ref="A1:M28"/>
  <sheetViews>
    <sheetView showGridLines="0" tabSelected="1" topLeftCell="E1" zoomScaleNormal="100" workbookViewId="0">
      <pane ySplit="3" topLeftCell="A26" activePane="bottomLeft" state="frozen"/>
      <selection pane="bottomLeft"/>
    </sheetView>
  </sheetViews>
  <sheetFormatPr defaultColWidth="8.6328125" defaultRowHeight="14.5" x14ac:dyDescent="0.35"/>
  <cols>
    <col min="1" max="1" width="10" customWidth="1"/>
    <col min="2" max="2" width="18" customWidth="1"/>
    <col min="3" max="3" width="10" customWidth="1"/>
    <col min="4" max="4" width="40" customWidth="1"/>
    <col min="5" max="5" width="52" customWidth="1"/>
    <col min="6" max="6" width="58" customWidth="1"/>
    <col min="7" max="7" width="12" customWidth="1"/>
    <col min="8" max="9" width="13" customWidth="1"/>
    <col min="10" max="10" width="10" customWidth="1"/>
    <col min="11" max="11" width="18" customWidth="1"/>
    <col min="12" max="12" width="10" customWidth="1"/>
    <col min="13" max="13" width="22" customWidth="1"/>
  </cols>
  <sheetData>
    <row r="1" spans="1:13" ht="13.5" customHeight="1" x14ac:dyDescent="0.35">
      <c r="A1" s="7" t="s">
        <v>0</v>
      </c>
      <c r="B1" s="7"/>
      <c r="C1" s="7"/>
      <c r="D1" s="7"/>
      <c r="E1" s="7"/>
      <c r="F1" s="7"/>
      <c r="G1" s="7"/>
      <c r="H1" s="7"/>
      <c r="I1" s="7"/>
      <c r="J1" s="7"/>
      <c r="K1" s="7"/>
      <c r="L1" s="7"/>
      <c r="M1" s="7"/>
    </row>
    <row r="2" spans="1:13" ht="21.75" customHeight="1" x14ac:dyDescent="0.35">
      <c r="A2" s="8" t="s">
        <v>1</v>
      </c>
      <c r="B2" s="9" t="s">
        <v>2</v>
      </c>
      <c r="C2" s="8" t="s">
        <v>3</v>
      </c>
      <c r="D2" s="9" t="s">
        <v>4</v>
      </c>
      <c r="E2" s="8" t="s">
        <v>5</v>
      </c>
      <c r="F2" s="9" t="s">
        <v>6</v>
      </c>
      <c r="G2" s="8" t="s">
        <v>7</v>
      </c>
      <c r="H2" s="9" t="s">
        <v>8</v>
      </c>
      <c r="I2" s="8" t="s">
        <v>9</v>
      </c>
      <c r="J2" s="9">
        <f>COUNTA(A4:A100)</f>
        <v>25</v>
      </c>
      <c r="K2" s="8" t="s">
        <v>10</v>
      </c>
      <c r="L2" s="9">
        <f>COUNTIF(I4:I100,"Done")</f>
        <v>8</v>
      </c>
    </row>
    <row r="3" spans="1:13" ht="24" customHeight="1" x14ac:dyDescent="0.35">
      <c r="A3" s="10" t="s">
        <v>11</v>
      </c>
      <c r="B3" s="10" t="s">
        <v>12</v>
      </c>
      <c r="C3" s="10" t="s">
        <v>13</v>
      </c>
      <c r="D3" s="10" t="s">
        <v>14</v>
      </c>
      <c r="E3" s="10" t="s">
        <v>15</v>
      </c>
      <c r="F3" s="10" t="s">
        <v>16</v>
      </c>
      <c r="G3" s="10" t="s">
        <v>17</v>
      </c>
      <c r="H3" s="10" t="s">
        <v>18</v>
      </c>
      <c r="I3" s="10" t="s">
        <v>19</v>
      </c>
      <c r="J3" s="10" t="s">
        <v>5</v>
      </c>
      <c r="K3" s="10" t="s">
        <v>20</v>
      </c>
      <c r="L3" s="10" t="s">
        <v>21</v>
      </c>
      <c r="M3" s="10" t="s">
        <v>22</v>
      </c>
    </row>
    <row r="4" spans="1:13" ht="79.5" customHeight="1" x14ac:dyDescent="0.35">
      <c r="A4" s="11" t="s">
        <v>23</v>
      </c>
      <c r="B4" s="12" t="s">
        <v>24</v>
      </c>
      <c r="C4" s="13" t="s">
        <v>25</v>
      </c>
      <c r="D4" s="14" t="s">
        <v>26</v>
      </c>
      <c r="E4" s="15" t="s">
        <v>27</v>
      </c>
      <c r="F4" s="15" t="s">
        <v>28</v>
      </c>
      <c r="G4" s="16" t="s">
        <v>29</v>
      </c>
      <c r="H4" s="17">
        <v>3</v>
      </c>
      <c r="I4" s="18" t="s">
        <v>10</v>
      </c>
      <c r="J4" s="19" t="s">
        <v>6</v>
      </c>
      <c r="K4" s="20" t="s">
        <v>30</v>
      </c>
      <c r="L4" s="21" t="s">
        <v>31</v>
      </c>
      <c r="M4" s="20" t="s">
        <v>32</v>
      </c>
    </row>
    <row r="5" spans="1:13" ht="79.5" customHeight="1" x14ac:dyDescent="0.35">
      <c r="A5" s="22" t="s">
        <v>33</v>
      </c>
      <c r="B5" s="12" t="s">
        <v>24</v>
      </c>
      <c r="C5" s="13" t="s">
        <v>25</v>
      </c>
      <c r="D5" s="23" t="s">
        <v>34</v>
      </c>
      <c r="E5" s="24" t="s">
        <v>35</v>
      </c>
      <c r="F5" s="24" t="s">
        <v>36</v>
      </c>
      <c r="G5" s="16" t="s">
        <v>29</v>
      </c>
      <c r="H5" s="25">
        <v>2</v>
      </c>
      <c r="I5" s="18" t="s">
        <v>10</v>
      </c>
      <c r="J5" s="26" t="s">
        <v>6</v>
      </c>
      <c r="K5" s="27" t="s">
        <v>30</v>
      </c>
      <c r="L5" s="28" t="s">
        <v>31</v>
      </c>
      <c r="M5" s="27" t="s">
        <v>37</v>
      </c>
    </row>
    <row r="6" spans="1:13" ht="79.5" customHeight="1" x14ac:dyDescent="0.35">
      <c r="A6" s="11" t="s">
        <v>38</v>
      </c>
      <c r="B6" s="12" t="s">
        <v>24</v>
      </c>
      <c r="C6" s="29" t="s">
        <v>39</v>
      </c>
      <c r="D6" s="14" t="s">
        <v>40</v>
      </c>
      <c r="E6" s="15" t="s">
        <v>41</v>
      </c>
      <c r="F6" s="15" t="s">
        <v>42</v>
      </c>
      <c r="G6" s="16" t="s">
        <v>29</v>
      </c>
      <c r="H6" s="17">
        <v>2</v>
      </c>
      <c r="I6" s="18" t="s">
        <v>10</v>
      </c>
      <c r="J6" s="19" t="s">
        <v>6</v>
      </c>
      <c r="K6" s="20" t="s">
        <v>30</v>
      </c>
      <c r="L6" s="21" t="s">
        <v>31</v>
      </c>
      <c r="M6" s="20" t="s">
        <v>43</v>
      </c>
    </row>
    <row r="7" spans="1:13" ht="79.5" customHeight="1" x14ac:dyDescent="0.35">
      <c r="A7" s="22" t="s">
        <v>44</v>
      </c>
      <c r="B7" s="13" t="s">
        <v>45</v>
      </c>
      <c r="C7" s="13" t="s">
        <v>25</v>
      </c>
      <c r="D7" s="23" t="s">
        <v>46</v>
      </c>
      <c r="E7" s="24" t="s">
        <v>47</v>
      </c>
      <c r="F7" s="24" t="s">
        <v>48</v>
      </c>
      <c r="G7" s="16" t="s">
        <v>29</v>
      </c>
      <c r="H7" s="25">
        <v>5</v>
      </c>
      <c r="I7" s="13" t="s">
        <v>49</v>
      </c>
      <c r="J7" s="26" t="s">
        <v>6</v>
      </c>
      <c r="K7" s="27" t="s">
        <v>30</v>
      </c>
      <c r="L7" s="28" t="s">
        <v>50</v>
      </c>
      <c r="M7" s="27" t="s">
        <v>51</v>
      </c>
    </row>
    <row r="8" spans="1:13" ht="79.5" customHeight="1" x14ac:dyDescent="0.35">
      <c r="A8" s="11" t="s">
        <v>52</v>
      </c>
      <c r="B8" s="13" t="s">
        <v>45</v>
      </c>
      <c r="C8" s="13" t="s">
        <v>25</v>
      </c>
      <c r="D8" s="14" t="s">
        <v>53</v>
      </c>
      <c r="E8" s="15" t="s">
        <v>54</v>
      </c>
      <c r="F8" s="15" t="s">
        <v>55</v>
      </c>
      <c r="G8" s="16" t="s">
        <v>29</v>
      </c>
      <c r="H8" s="17">
        <v>5</v>
      </c>
      <c r="I8" s="13" t="s">
        <v>49</v>
      </c>
      <c r="J8" s="19" t="s">
        <v>6</v>
      </c>
      <c r="K8" s="20" t="s">
        <v>30</v>
      </c>
      <c r="L8" s="21" t="s">
        <v>56</v>
      </c>
      <c r="M8" s="20" t="s">
        <v>57</v>
      </c>
    </row>
    <row r="9" spans="1:13" ht="79.5" customHeight="1" x14ac:dyDescent="0.35">
      <c r="A9" s="22" t="s">
        <v>58</v>
      </c>
      <c r="B9" s="13" t="s">
        <v>45</v>
      </c>
      <c r="C9" s="13" t="s">
        <v>25</v>
      </c>
      <c r="D9" s="23" t="s">
        <v>59</v>
      </c>
      <c r="E9" s="24" t="s">
        <v>60</v>
      </c>
      <c r="F9" s="24" t="s">
        <v>61</v>
      </c>
      <c r="G9" s="16" t="s">
        <v>29</v>
      </c>
      <c r="H9" s="25">
        <v>3</v>
      </c>
      <c r="I9" s="30" t="s">
        <v>62</v>
      </c>
      <c r="J9" s="26" t="s">
        <v>6</v>
      </c>
      <c r="K9" s="27" t="s">
        <v>30</v>
      </c>
      <c r="L9" s="28" t="s">
        <v>56</v>
      </c>
      <c r="M9" s="27" t="s">
        <v>51</v>
      </c>
    </row>
    <row r="10" spans="1:13" ht="79.5" customHeight="1" x14ac:dyDescent="0.35">
      <c r="A10" s="11" t="s">
        <v>63</v>
      </c>
      <c r="B10" s="13" t="s">
        <v>45</v>
      </c>
      <c r="C10" s="13" t="s">
        <v>25</v>
      </c>
      <c r="D10" s="14" t="s">
        <v>64</v>
      </c>
      <c r="E10" s="15" t="s">
        <v>65</v>
      </c>
      <c r="F10" s="15" t="s">
        <v>66</v>
      </c>
      <c r="G10" s="16" t="s">
        <v>29</v>
      </c>
      <c r="H10" s="17">
        <v>3</v>
      </c>
      <c r="I10" s="30" t="s">
        <v>62</v>
      </c>
      <c r="J10" s="19" t="s">
        <v>6</v>
      </c>
      <c r="K10" s="20" t="s">
        <v>30</v>
      </c>
      <c r="L10" s="21" t="s">
        <v>50</v>
      </c>
      <c r="M10" s="20" t="s">
        <v>67</v>
      </c>
    </row>
    <row r="11" spans="1:13" ht="79.5" customHeight="1" x14ac:dyDescent="0.35">
      <c r="A11" s="22" t="s">
        <v>68</v>
      </c>
      <c r="B11" s="13" t="s">
        <v>45</v>
      </c>
      <c r="C11" s="16" t="s">
        <v>69</v>
      </c>
      <c r="D11" s="23" t="s">
        <v>70</v>
      </c>
      <c r="E11" s="24" t="s">
        <v>71</v>
      </c>
      <c r="F11" s="24" t="s">
        <v>72</v>
      </c>
      <c r="G11" s="16" t="s">
        <v>29</v>
      </c>
      <c r="H11" s="25">
        <v>1</v>
      </c>
      <c r="I11" s="30" t="s">
        <v>62</v>
      </c>
      <c r="J11" s="26" t="s">
        <v>6</v>
      </c>
      <c r="K11" s="27" t="s">
        <v>30</v>
      </c>
      <c r="L11" s="28" t="s">
        <v>50</v>
      </c>
      <c r="M11" s="27" t="s">
        <v>73</v>
      </c>
    </row>
    <row r="12" spans="1:13" ht="79.5" customHeight="1" x14ac:dyDescent="0.35">
      <c r="A12" s="11" t="s">
        <v>74</v>
      </c>
      <c r="B12" s="13" t="s">
        <v>45</v>
      </c>
      <c r="C12" s="29" t="s">
        <v>39</v>
      </c>
      <c r="D12" s="14" t="s">
        <v>75</v>
      </c>
      <c r="E12" s="15" t="s">
        <v>76</v>
      </c>
      <c r="F12" s="15" t="s">
        <v>77</v>
      </c>
      <c r="G12" s="16" t="s">
        <v>29</v>
      </c>
      <c r="H12" s="17">
        <v>3</v>
      </c>
      <c r="I12" s="30" t="s">
        <v>62</v>
      </c>
      <c r="J12" s="19" t="s">
        <v>78</v>
      </c>
      <c r="K12" s="20" t="s">
        <v>30</v>
      </c>
      <c r="L12" s="21" t="s">
        <v>50</v>
      </c>
      <c r="M12" s="20" t="s">
        <v>79</v>
      </c>
    </row>
    <row r="13" spans="1:13" ht="79.5" customHeight="1" x14ac:dyDescent="0.35">
      <c r="A13" s="22" t="s">
        <v>80</v>
      </c>
      <c r="B13" s="31" t="s">
        <v>81</v>
      </c>
      <c r="C13" s="13" t="s">
        <v>25</v>
      </c>
      <c r="D13" s="23" t="s">
        <v>82</v>
      </c>
      <c r="E13" s="24" t="s">
        <v>83</v>
      </c>
      <c r="F13" s="24" t="s">
        <v>84</v>
      </c>
      <c r="G13" s="16" t="s">
        <v>29</v>
      </c>
      <c r="H13" s="25">
        <v>3</v>
      </c>
      <c r="I13" s="30" t="s">
        <v>62</v>
      </c>
      <c r="J13" s="26" t="s">
        <v>6</v>
      </c>
      <c r="K13" s="27" t="s">
        <v>30</v>
      </c>
      <c r="L13" s="28" t="s">
        <v>85</v>
      </c>
      <c r="M13" s="27" t="s">
        <v>86</v>
      </c>
    </row>
    <row r="14" spans="1:13" ht="79.5" customHeight="1" x14ac:dyDescent="0.35">
      <c r="A14" s="11" t="s">
        <v>87</v>
      </c>
      <c r="B14" s="31" t="s">
        <v>81</v>
      </c>
      <c r="C14" s="13" t="s">
        <v>25</v>
      </c>
      <c r="D14" s="14" t="s">
        <v>88</v>
      </c>
      <c r="E14" s="15" t="s">
        <v>89</v>
      </c>
      <c r="F14" s="15" t="s">
        <v>90</v>
      </c>
      <c r="G14" s="16" t="s">
        <v>29</v>
      </c>
      <c r="H14" s="17">
        <v>3</v>
      </c>
      <c r="I14" s="30" t="s">
        <v>62</v>
      </c>
      <c r="J14" s="19" t="s">
        <v>6</v>
      </c>
      <c r="K14" s="20" t="s">
        <v>30</v>
      </c>
      <c r="L14" s="21" t="s">
        <v>85</v>
      </c>
      <c r="M14" s="20" t="s">
        <v>91</v>
      </c>
    </row>
    <row r="15" spans="1:13" ht="79.5" customHeight="1" x14ac:dyDescent="0.35">
      <c r="A15" s="22" t="s">
        <v>92</v>
      </c>
      <c r="B15" s="31" t="s">
        <v>81</v>
      </c>
      <c r="C15" s="13" t="s">
        <v>25</v>
      </c>
      <c r="D15" s="23" t="s">
        <v>93</v>
      </c>
      <c r="E15" s="24" t="s">
        <v>94</v>
      </c>
      <c r="F15" s="24" t="s">
        <v>95</v>
      </c>
      <c r="G15" s="29" t="s">
        <v>96</v>
      </c>
      <c r="H15" s="25">
        <v>3</v>
      </c>
      <c r="I15" s="30" t="s">
        <v>62</v>
      </c>
      <c r="J15" s="26" t="s">
        <v>78</v>
      </c>
      <c r="K15" s="27" t="s">
        <v>30</v>
      </c>
      <c r="L15" s="28" t="s">
        <v>85</v>
      </c>
      <c r="M15" s="27" t="s">
        <v>97</v>
      </c>
    </row>
    <row r="16" spans="1:13" ht="79.5" customHeight="1" x14ac:dyDescent="0.35">
      <c r="A16" s="11" t="s">
        <v>98</v>
      </c>
      <c r="B16" s="31" t="s">
        <v>81</v>
      </c>
      <c r="C16" s="29" t="s">
        <v>39</v>
      </c>
      <c r="D16" s="14" t="s">
        <v>99</v>
      </c>
      <c r="E16" s="15" t="s">
        <v>100</v>
      </c>
      <c r="F16" s="15" t="s">
        <v>101</v>
      </c>
      <c r="G16" s="16" t="s">
        <v>29</v>
      </c>
      <c r="H16" s="17">
        <v>1</v>
      </c>
      <c r="I16" s="18" t="s">
        <v>10</v>
      </c>
      <c r="J16" s="19" t="s">
        <v>6</v>
      </c>
      <c r="K16" s="20" t="s">
        <v>30</v>
      </c>
      <c r="L16" s="21" t="s">
        <v>85</v>
      </c>
      <c r="M16" s="20" t="s">
        <v>102</v>
      </c>
    </row>
    <row r="17" spans="1:13" ht="79.5" customHeight="1" x14ac:dyDescent="0.35">
      <c r="A17" s="22" t="s">
        <v>103</v>
      </c>
      <c r="B17" s="16" t="s">
        <v>104</v>
      </c>
      <c r="C17" s="13" t="s">
        <v>25</v>
      </c>
      <c r="D17" s="23" t="s">
        <v>105</v>
      </c>
      <c r="E17" s="24" t="s">
        <v>106</v>
      </c>
      <c r="F17" s="24" t="s">
        <v>107</v>
      </c>
      <c r="G17" s="16" t="s">
        <v>29</v>
      </c>
      <c r="H17" s="25">
        <v>2</v>
      </c>
      <c r="I17" s="18" t="s">
        <v>10</v>
      </c>
      <c r="J17" s="26" t="s">
        <v>6</v>
      </c>
      <c r="K17" s="27" t="s">
        <v>30</v>
      </c>
      <c r="L17" s="28" t="s">
        <v>31</v>
      </c>
      <c r="M17" s="27" t="s">
        <v>108</v>
      </c>
    </row>
    <row r="18" spans="1:13" ht="79.5" customHeight="1" x14ac:dyDescent="0.35">
      <c r="A18" s="11" t="s">
        <v>109</v>
      </c>
      <c r="B18" s="16" t="s">
        <v>104</v>
      </c>
      <c r="C18" s="13" t="s">
        <v>25</v>
      </c>
      <c r="D18" s="14" t="s">
        <v>110</v>
      </c>
      <c r="E18" s="15" t="s">
        <v>111</v>
      </c>
      <c r="F18" s="15" t="s">
        <v>112</v>
      </c>
      <c r="G18" s="16" t="s">
        <v>29</v>
      </c>
      <c r="H18" s="17">
        <v>2</v>
      </c>
      <c r="I18" s="30" t="s">
        <v>62</v>
      </c>
      <c r="J18" s="19" t="s">
        <v>6</v>
      </c>
      <c r="K18" s="20" t="s">
        <v>30</v>
      </c>
      <c r="L18" s="21" t="s">
        <v>56</v>
      </c>
      <c r="M18" s="20" t="s">
        <v>113</v>
      </c>
    </row>
    <row r="19" spans="1:13" ht="79.5" customHeight="1" x14ac:dyDescent="0.35">
      <c r="A19" s="22" t="s">
        <v>114</v>
      </c>
      <c r="B19" s="16" t="s">
        <v>104</v>
      </c>
      <c r="C19" s="13" t="s">
        <v>25</v>
      </c>
      <c r="D19" s="23" t="s">
        <v>115</v>
      </c>
      <c r="E19" s="24" t="s">
        <v>116</v>
      </c>
      <c r="F19" s="24" t="s">
        <v>117</v>
      </c>
      <c r="G19" s="16" t="s">
        <v>29</v>
      </c>
      <c r="H19" s="25">
        <v>1</v>
      </c>
      <c r="I19" s="30" t="s">
        <v>62</v>
      </c>
      <c r="J19" s="26" t="s">
        <v>6</v>
      </c>
      <c r="K19" s="27" t="s">
        <v>30</v>
      </c>
      <c r="L19" s="28" t="s">
        <v>31</v>
      </c>
      <c r="M19" s="27" t="s">
        <v>108</v>
      </c>
    </row>
    <row r="20" spans="1:13" ht="79.5" customHeight="1" x14ac:dyDescent="0.35">
      <c r="A20" s="11" t="s">
        <v>118</v>
      </c>
      <c r="B20" s="16" t="s">
        <v>104</v>
      </c>
      <c r="C20" s="16" t="s">
        <v>69</v>
      </c>
      <c r="D20" s="14" t="s">
        <v>119</v>
      </c>
      <c r="E20" s="15" t="s">
        <v>120</v>
      </c>
      <c r="F20" s="15" t="s">
        <v>121</v>
      </c>
      <c r="G20" s="16" t="s">
        <v>29</v>
      </c>
      <c r="H20" s="17">
        <v>1</v>
      </c>
      <c r="I20" s="30" t="s">
        <v>62</v>
      </c>
      <c r="J20" s="19" t="s">
        <v>6</v>
      </c>
      <c r="K20" s="20" t="s">
        <v>30</v>
      </c>
      <c r="L20" s="21" t="s">
        <v>31</v>
      </c>
      <c r="M20" s="20" t="s">
        <v>122</v>
      </c>
    </row>
    <row r="21" spans="1:13" ht="79.5" customHeight="1" x14ac:dyDescent="0.35">
      <c r="A21" s="22" t="s">
        <v>123</v>
      </c>
      <c r="B21" s="32" t="s">
        <v>124</v>
      </c>
      <c r="C21" s="13" t="s">
        <v>25</v>
      </c>
      <c r="D21" s="23" t="s">
        <v>125</v>
      </c>
      <c r="E21" s="24" t="s">
        <v>126</v>
      </c>
      <c r="F21" s="24" t="s">
        <v>127</v>
      </c>
      <c r="G21" s="16" t="s">
        <v>29</v>
      </c>
      <c r="H21" s="25">
        <v>3</v>
      </c>
      <c r="I21" s="30" t="s">
        <v>62</v>
      </c>
      <c r="J21" s="26" t="s">
        <v>6</v>
      </c>
      <c r="K21" s="27" t="s">
        <v>30</v>
      </c>
      <c r="L21" s="28" t="s">
        <v>50</v>
      </c>
      <c r="M21" s="27" t="s">
        <v>67</v>
      </c>
    </row>
    <row r="22" spans="1:13" ht="79.5" customHeight="1" x14ac:dyDescent="0.35">
      <c r="A22" s="11" t="s">
        <v>128</v>
      </c>
      <c r="B22" s="32" t="s">
        <v>124</v>
      </c>
      <c r="C22" s="13" t="s">
        <v>25</v>
      </c>
      <c r="D22" s="14" t="s">
        <v>129</v>
      </c>
      <c r="E22" s="15" t="s">
        <v>130</v>
      </c>
      <c r="F22" s="15" t="s">
        <v>131</v>
      </c>
      <c r="G22" s="16" t="s">
        <v>29</v>
      </c>
      <c r="H22" s="17">
        <v>5</v>
      </c>
      <c r="I22" s="30" t="s">
        <v>62</v>
      </c>
      <c r="J22" s="19" t="s">
        <v>6</v>
      </c>
      <c r="K22" s="20" t="s">
        <v>30</v>
      </c>
      <c r="L22" s="21" t="s">
        <v>56</v>
      </c>
      <c r="M22" s="20" t="s">
        <v>67</v>
      </c>
    </row>
    <row r="23" spans="1:13" ht="79.5" customHeight="1" x14ac:dyDescent="0.35">
      <c r="A23" s="22" t="s">
        <v>132</v>
      </c>
      <c r="B23" s="32" t="s">
        <v>124</v>
      </c>
      <c r="C23" s="13" t="s">
        <v>25</v>
      </c>
      <c r="D23" s="23" t="s">
        <v>133</v>
      </c>
      <c r="E23" s="24" t="s">
        <v>134</v>
      </c>
      <c r="F23" s="24" t="s">
        <v>135</v>
      </c>
      <c r="G23" s="29" t="s">
        <v>96</v>
      </c>
      <c r="H23" s="25">
        <v>3</v>
      </c>
      <c r="I23" s="30" t="s">
        <v>62</v>
      </c>
      <c r="J23" s="26" t="s">
        <v>78</v>
      </c>
      <c r="K23" s="27" t="s">
        <v>30</v>
      </c>
      <c r="L23" s="28" t="s">
        <v>50</v>
      </c>
      <c r="M23" s="27" t="s">
        <v>136</v>
      </c>
    </row>
    <row r="24" spans="1:13" ht="79.5" customHeight="1" x14ac:dyDescent="0.35">
      <c r="A24" s="11" t="s">
        <v>137</v>
      </c>
      <c r="B24" s="33" t="s">
        <v>138</v>
      </c>
      <c r="C24" s="29" t="s">
        <v>39</v>
      </c>
      <c r="D24" s="14" t="s">
        <v>139</v>
      </c>
      <c r="E24" s="15" t="s">
        <v>140</v>
      </c>
      <c r="F24" s="15" t="s">
        <v>141</v>
      </c>
      <c r="G24" s="16" t="s">
        <v>29</v>
      </c>
      <c r="H24" s="17">
        <v>1</v>
      </c>
      <c r="I24" s="18" t="s">
        <v>10</v>
      </c>
      <c r="J24" s="19" t="s">
        <v>6</v>
      </c>
      <c r="K24" s="20" t="s">
        <v>30</v>
      </c>
      <c r="L24" s="21" t="s">
        <v>31</v>
      </c>
      <c r="M24" s="20" t="s">
        <v>142</v>
      </c>
    </row>
    <row r="25" spans="1:13" ht="79.5" customHeight="1" x14ac:dyDescent="0.35">
      <c r="A25" s="22" t="s">
        <v>143</v>
      </c>
      <c r="B25" s="33" t="s">
        <v>138</v>
      </c>
      <c r="C25" s="29" t="s">
        <v>39</v>
      </c>
      <c r="D25" s="23" t="s">
        <v>144</v>
      </c>
      <c r="E25" s="24" t="s">
        <v>145</v>
      </c>
      <c r="F25" s="24" t="s">
        <v>146</v>
      </c>
      <c r="G25" s="16" t="s">
        <v>29</v>
      </c>
      <c r="H25" s="25">
        <v>1</v>
      </c>
      <c r="I25" s="18" t="s">
        <v>10</v>
      </c>
      <c r="J25" s="26" t="s">
        <v>6</v>
      </c>
      <c r="K25" s="27" t="s">
        <v>30</v>
      </c>
      <c r="L25" s="28" t="s">
        <v>50</v>
      </c>
      <c r="M25" s="27" t="s">
        <v>102</v>
      </c>
    </row>
    <row r="26" spans="1:13" ht="79.5" customHeight="1" x14ac:dyDescent="0.35">
      <c r="A26" s="11" t="s">
        <v>147</v>
      </c>
      <c r="B26" s="33" t="s">
        <v>138</v>
      </c>
      <c r="C26" s="29" t="s">
        <v>39</v>
      </c>
      <c r="D26" s="14" t="s">
        <v>148</v>
      </c>
      <c r="E26" s="15" t="s">
        <v>149</v>
      </c>
      <c r="F26" s="15" t="s">
        <v>150</v>
      </c>
      <c r="G26" s="16" t="s">
        <v>29</v>
      </c>
      <c r="H26" s="17">
        <v>1</v>
      </c>
      <c r="I26" s="18" t="s">
        <v>10</v>
      </c>
      <c r="J26" s="19" t="s">
        <v>6</v>
      </c>
      <c r="K26" s="20" t="s">
        <v>30</v>
      </c>
      <c r="L26" s="21" t="s">
        <v>50</v>
      </c>
      <c r="M26" s="20" t="s">
        <v>151</v>
      </c>
    </row>
    <row r="27" spans="1:13" ht="79.5" customHeight="1" x14ac:dyDescent="0.35">
      <c r="A27" s="22" t="s">
        <v>152</v>
      </c>
      <c r="B27" s="33" t="s">
        <v>138</v>
      </c>
      <c r="C27" s="29" t="s">
        <v>39</v>
      </c>
      <c r="D27" s="23" t="s">
        <v>153</v>
      </c>
      <c r="E27" s="24" t="s">
        <v>154</v>
      </c>
      <c r="F27" s="24" t="s">
        <v>155</v>
      </c>
      <c r="G27" s="16" t="s">
        <v>29</v>
      </c>
      <c r="H27" s="25">
        <v>2</v>
      </c>
      <c r="I27" s="30" t="s">
        <v>62</v>
      </c>
      <c r="J27" s="26" t="s">
        <v>78</v>
      </c>
      <c r="K27" s="27" t="s">
        <v>30</v>
      </c>
      <c r="L27" s="28" t="s">
        <v>31</v>
      </c>
      <c r="M27" s="27" t="s">
        <v>156</v>
      </c>
    </row>
    <row r="28" spans="1:13" ht="79.5" customHeight="1" x14ac:dyDescent="0.35">
      <c r="A28" s="11" t="s">
        <v>157</v>
      </c>
      <c r="B28" s="33" t="s">
        <v>138</v>
      </c>
      <c r="C28" s="13" t="s">
        <v>25</v>
      </c>
      <c r="D28" s="14" t="s">
        <v>158</v>
      </c>
      <c r="E28" s="15" t="s">
        <v>159</v>
      </c>
      <c r="F28" s="15" t="s">
        <v>160</v>
      </c>
      <c r="G28" s="16" t="s">
        <v>29</v>
      </c>
      <c r="H28" s="17">
        <v>5</v>
      </c>
      <c r="I28" s="30" t="s">
        <v>62</v>
      </c>
      <c r="J28" s="19" t="s">
        <v>78</v>
      </c>
      <c r="K28" s="20" t="s">
        <v>30</v>
      </c>
      <c r="L28" s="21" t="s">
        <v>31</v>
      </c>
      <c r="M28" s="20" t="s">
        <v>161</v>
      </c>
    </row>
  </sheetData>
  <autoFilter ref="A3:M3" xr:uid="{00000000-0009-0000-0000-000000000000}"/>
  <mergeCells count="1">
    <mergeCell ref="A1:M1"/>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A1DE"/>
  </sheetPr>
  <dimension ref="A1:E40"/>
  <sheetViews>
    <sheetView showGridLines="0" zoomScaleNormal="100" workbookViewId="0"/>
  </sheetViews>
  <sheetFormatPr defaultColWidth="8.6328125" defaultRowHeight="14.5" x14ac:dyDescent="0.35"/>
  <cols>
    <col min="1" max="1" width="28" customWidth="1"/>
    <col min="2" max="5" width="34" customWidth="1"/>
  </cols>
  <sheetData>
    <row r="1" spans="1:5" ht="31.5" customHeight="1" x14ac:dyDescent="0.35">
      <c r="A1" s="7" t="s">
        <v>162</v>
      </c>
      <c r="B1" s="7"/>
      <c r="C1" s="7"/>
      <c r="D1" s="7"/>
      <c r="E1" s="7"/>
    </row>
    <row r="2" spans="1:5" ht="21.75" customHeight="1" x14ac:dyDescent="0.35">
      <c r="A2" s="34" t="s">
        <v>163</v>
      </c>
      <c r="B2" s="35" t="s">
        <v>62</v>
      </c>
      <c r="C2" s="36" t="s">
        <v>49</v>
      </c>
      <c r="D2" s="37" t="s">
        <v>10</v>
      </c>
      <c r="E2" s="38" t="s">
        <v>164</v>
      </c>
    </row>
    <row r="3" spans="1:5" ht="18" customHeight="1" x14ac:dyDescent="0.35">
      <c r="A3" s="6" t="s">
        <v>165</v>
      </c>
      <c r="B3" s="6"/>
      <c r="C3" s="6"/>
      <c r="D3" s="6"/>
      <c r="E3" s="6"/>
    </row>
    <row r="4" spans="1:5" ht="39.75" customHeight="1" x14ac:dyDescent="0.35">
      <c r="A4" s="39"/>
      <c r="B4" s="39"/>
      <c r="C4" s="39"/>
      <c r="D4" s="40" t="s">
        <v>166</v>
      </c>
      <c r="E4" s="39"/>
    </row>
    <row r="5" spans="1:5" ht="39.75" customHeight="1" x14ac:dyDescent="0.35">
      <c r="A5" s="39"/>
      <c r="B5" s="39"/>
      <c r="C5" s="39"/>
      <c r="D5" s="40" t="s">
        <v>167</v>
      </c>
      <c r="E5" s="39"/>
    </row>
    <row r="6" spans="1:5" ht="39.75" customHeight="1" x14ac:dyDescent="0.35">
      <c r="A6" s="39"/>
      <c r="B6" s="39"/>
      <c r="C6" s="39"/>
      <c r="D6" s="40" t="s">
        <v>168</v>
      </c>
      <c r="E6" s="39"/>
    </row>
    <row r="7" spans="1:5" ht="7.5" customHeight="1" x14ac:dyDescent="0.35">
      <c r="A7" s="41"/>
      <c r="B7" s="41"/>
      <c r="C7" s="41"/>
      <c r="D7" s="41"/>
      <c r="E7" s="41"/>
    </row>
    <row r="8" spans="1:5" ht="18" customHeight="1" x14ac:dyDescent="0.35">
      <c r="A8" s="5" t="s">
        <v>169</v>
      </c>
      <c r="B8" s="5"/>
      <c r="C8" s="5"/>
      <c r="D8" s="5"/>
      <c r="E8" s="5"/>
    </row>
    <row r="9" spans="1:5" ht="39.75" customHeight="1" x14ac:dyDescent="0.35">
      <c r="A9" s="39"/>
      <c r="B9" s="39"/>
      <c r="C9" s="42" t="s">
        <v>170</v>
      </c>
      <c r="D9" s="39"/>
      <c r="E9" s="39"/>
    </row>
    <row r="10" spans="1:5" ht="39.75" customHeight="1" x14ac:dyDescent="0.35">
      <c r="A10" s="39"/>
      <c r="B10" s="39"/>
      <c r="C10" s="42" t="s">
        <v>171</v>
      </c>
      <c r="D10" s="39"/>
      <c r="E10" s="39"/>
    </row>
    <row r="11" spans="1:5" ht="39.75" customHeight="1" x14ac:dyDescent="0.35">
      <c r="A11" s="39"/>
      <c r="B11" s="42" t="s">
        <v>172</v>
      </c>
      <c r="C11" s="39"/>
      <c r="D11" s="39"/>
      <c r="E11" s="39"/>
    </row>
    <row r="12" spans="1:5" ht="39.75" customHeight="1" x14ac:dyDescent="0.35">
      <c r="A12" s="39"/>
      <c r="B12" s="42" t="s">
        <v>173</v>
      </c>
      <c r="C12" s="39"/>
      <c r="D12" s="39"/>
      <c r="E12" s="39"/>
    </row>
    <row r="13" spans="1:5" ht="39.75" customHeight="1" x14ac:dyDescent="0.35">
      <c r="A13" s="39"/>
      <c r="B13" s="42" t="s">
        <v>174</v>
      </c>
      <c r="C13" s="39"/>
      <c r="D13" s="39"/>
      <c r="E13" s="39"/>
    </row>
    <row r="14" spans="1:5" ht="39.75" customHeight="1" x14ac:dyDescent="0.35">
      <c r="A14" s="39"/>
      <c r="B14" s="42" t="s">
        <v>175</v>
      </c>
      <c r="C14" s="39"/>
      <c r="D14" s="39"/>
      <c r="E14" s="39"/>
    </row>
    <row r="15" spans="1:5" ht="7.5" customHeight="1" x14ac:dyDescent="0.35">
      <c r="A15" s="41"/>
      <c r="B15" s="41"/>
      <c r="C15" s="41"/>
      <c r="D15" s="41"/>
      <c r="E15" s="41"/>
    </row>
    <row r="16" spans="1:5" ht="18" customHeight="1" x14ac:dyDescent="0.35">
      <c r="A16" s="4" t="s">
        <v>176</v>
      </c>
      <c r="B16" s="4"/>
      <c r="C16" s="4"/>
      <c r="D16" s="4"/>
      <c r="E16" s="4"/>
    </row>
    <row r="17" spans="1:5" ht="39.75" customHeight="1" x14ac:dyDescent="0.35">
      <c r="A17" s="39"/>
      <c r="B17" s="43" t="s">
        <v>177</v>
      </c>
      <c r="C17" s="39"/>
      <c r="D17" s="39"/>
      <c r="E17" s="39"/>
    </row>
    <row r="18" spans="1:5" ht="39.75" customHeight="1" x14ac:dyDescent="0.35">
      <c r="A18" s="39"/>
      <c r="B18" s="43" t="s">
        <v>178</v>
      </c>
      <c r="C18" s="39"/>
      <c r="D18" s="39"/>
      <c r="E18" s="39"/>
    </row>
    <row r="19" spans="1:5" ht="39.75" customHeight="1" x14ac:dyDescent="0.35">
      <c r="A19" s="39"/>
      <c r="B19" s="43" t="s">
        <v>179</v>
      </c>
      <c r="C19" s="39"/>
      <c r="D19" s="39"/>
      <c r="E19" s="39"/>
    </row>
    <row r="20" spans="1:5" ht="39.75" customHeight="1" x14ac:dyDescent="0.35">
      <c r="A20" s="39"/>
      <c r="B20" s="39"/>
      <c r="C20" s="39"/>
      <c r="D20" s="43" t="s">
        <v>180</v>
      </c>
      <c r="E20" s="39"/>
    </row>
    <row r="21" spans="1:5" ht="7.5" customHeight="1" x14ac:dyDescent="0.35">
      <c r="A21" s="41"/>
      <c r="B21" s="41"/>
      <c r="C21" s="41"/>
      <c r="D21" s="41"/>
      <c r="E21" s="41"/>
    </row>
    <row r="22" spans="1:5" ht="18" customHeight="1" x14ac:dyDescent="0.35">
      <c r="A22" s="3" t="s">
        <v>181</v>
      </c>
      <c r="B22" s="3"/>
      <c r="C22" s="3"/>
      <c r="D22" s="3"/>
      <c r="E22" s="3"/>
    </row>
    <row r="23" spans="1:5" ht="39.75" customHeight="1" x14ac:dyDescent="0.35">
      <c r="A23" s="39"/>
      <c r="B23" s="39"/>
      <c r="C23" s="39"/>
      <c r="D23" s="44" t="s">
        <v>182</v>
      </c>
      <c r="E23" s="39"/>
    </row>
    <row r="24" spans="1:5" ht="39.75" customHeight="1" x14ac:dyDescent="0.35">
      <c r="A24" s="39"/>
      <c r="B24" s="44" t="s">
        <v>183</v>
      </c>
      <c r="C24" s="39"/>
      <c r="D24" s="39"/>
      <c r="E24" s="39"/>
    </row>
    <row r="25" spans="1:5" ht="39.75" customHeight="1" x14ac:dyDescent="0.35">
      <c r="A25" s="39"/>
      <c r="B25" s="44" t="s">
        <v>184</v>
      </c>
      <c r="C25" s="39"/>
      <c r="D25" s="39"/>
      <c r="E25" s="39"/>
    </row>
    <row r="26" spans="1:5" ht="39.75" customHeight="1" x14ac:dyDescent="0.35">
      <c r="A26" s="39"/>
      <c r="B26" s="44" t="s">
        <v>185</v>
      </c>
      <c r="C26" s="39"/>
      <c r="D26" s="39"/>
      <c r="E26" s="39"/>
    </row>
    <row r="27" spans="1:5" ht="7.5" customHeight="1" x14ac:dyDescent="0.35">
      <c r="A27" s="41"/>
      <c r="B27" s="41"/>
      <c r="C27" s="41"/>
      <c r="D27" s="41"/>
      <c r="E27" s="41"/>
    </row>
    <row r="28" spans="1:5" ht="18" customHeight="1" x14ac:dyDescent="0.35">
      <c r="A28" s="2" t="s">
        <v>186</v>
      </c>
      <c r="B28" s="2"/>
      <c r="C28" s="2"/>
      <c r="D28" s="2"/>
      <c r="E28" s="2"/>
    </row>
    <row r="29" spans="1:5" ht="39.75" customHeight="1" x14ac:dyDescent="0.35">
      <c r="A29" s="39"/>
      <c r="B29" s="45" t="s">
        <v>187</v>
      </c>
      <c r="C29" s="39"/>
      <c r="D29" s="39"/>
      <c r="E29" s="39"/>
    </row>
    <row r="30" spans="1:5" ht="39.75" customHeight="1" x14ac:dyDescent="0.35">
      <c r="A30" s="39"/>
      <c r="B30" s="45" t="s">
        <v>188</v>
      </c>
      <c r="C30" s="39"/>
      <c r="D30" s="39"/>
      <c r="E30" s="39"/>
    </row>
    <row r="31" spans="1:5" ht="39.75" customHeight="1" x14ac:dyDescent="0.35">
      <c r="A31" s="39"/>
      <c r="B31" s="45" t="s">
        <v>189</v>
      </c>
      <c r="C31" s="39"/>
      <c r="D31" s="39"/>
      <c r="E31" s="39"/>
    </row>
    <row r="32" spans="1:5" ht="7.5" customHeight="1" x14ac:dyDescent="0.35">
      <c r="A32" s="41"/>
      <c r="B32" s="41"/>
      <c r="C32" s="41"/>
      <c r="D32" s="41"/>
      <c r="E32" s="41"/>
    </row>
    <row r="33" spans="1:5" ht="18" customHeight="1" x14ac:dyDescent="0.35">
      <c r="A33" s="1" t="s">
        <v>190</v>
      </c>
      <c r="B33" s="1"/>
      <c r="C33" s="1"/>
      <c r="D33" s="1"/>
      <c r="E33" s="1"/>
    </row>
    <row r="34" spans="1:5" ht="39.75" customHeight="1" x14ac:dyDescent="0.35">
      <c r="A34" s="39"/>
      <c r="B34" s="39"/>
      <c r="C34" s="39"/>
      <c r="D34" s="46" t="s">
        <v>191</v>
      </c>
      <c r="E34" s="39"/>
    </row>
    <row r="35" spans="1:5" ht="39.75" customHeight="1" x14ac:dyDescent="0.35">
      <c r="A35" s="39"/>
      <c r="B35" s="39"/>
      <c r="C35" s="39"/>
      <c r="D35" s="46" t="s">
        <v>192</v>
      </c>
      <c r="E35" s="39"/>
    </row>
    <row r="36" spans="1:5" ht="39.75" customHeight="1" x14ac:dyDescent="0.35">
      <c r="A36" s="39"/>
      <c r="B36" s="39"/>
      <c r="C36" s="39"/>
      <c r="D36" s="46" t="s">
        <v>193</v>
      </c>
      <c r="E36" s="39"/>
    </row>
    <row r="37" spans="1:5" ht="39.75" customHeight="1" x14ac:dyDescent="0.35">
      <c r="A37" s="39"/>
      <c r="B37" s="46" t="s">
        <v>194</v>
      </c>
      <c r="C37" s="39"/>
      <c r="D37" s="39"/>
      <c r="E37" s="39"/>
    </row>
    <row r="38" spans="1:5" ht="39.75" customHeight="1" x14ac:dyDescent="0.35">
      <c r="A38" s="39"/>
      <c r="B38" s="46" t="s">
        <v>195</v>
      </c>
      <c r="C38" s="39"/>
      <c r="D38" s="39"/>
      <c r="E38" s="39"/>
    </row>
    <row r="39" spans="1:5" ht="7.5" customHeight="1" x14ac:dyDescent="0.35">
      <c r="A39" s="41"/>
      <c r="B39" s="41"/>
      <c r="C39" s="41"/>
      <c r="D39" s="41"/>
      <c r="E39" s="41"/>
    </row>
    <row r="40" spans="1:5" ht="21.75" customHeight="1" x14ac:dyDescent="0.35">
      <c r="A40" s="47" t="s">
        <v>196</v>
      </c>
      <c r="B40" s="48" t="s">
        <v>197</v>
      </c>
      <c r="C40" s="49" t="s">
        <v>198</v>
      </c>
      <c r="D40" s="50" t="s">
        <v>199</v>
      </c>
    </row>
  </sheetData>
  <mergeCells count="7">
    <mergeCell ref="A28:E28"/>
    <mergeCell ref="A33:E33"/>
    <mergeCell ref="A1:E1"/>
    <mergeCell ref="A3:E3"/>
    <mergeCell ref="A8:E8"/>
    <mergeCell ref="A16:E16"/>
    <mergeCell ref="A22:E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59E0B"/>
  </sheetPr>
  <dimension ref="A1:G9"/>
  <sheetViews>
    <sheetView showGridLines="0" zoomScaleNormal="100" workbookViewId="0"/>
  </sheetViews>
  <sheetFormatPr defaultColWidth="8.6328125" defaultRowHeight="14.5" x14ac:dyDescent="0.35"/>
  <cols>
    <col min="1" max="1" width="22" customWidth="1"/>
    <col min="2" max="2" width="18" customWidth="1"/>
    <col min="3" max="6" width="12" customWidth="1"/>
    <col min="7" max="7" width="14" customWidth="1"/>
  </cols>
  <sheetData>
    <row r="1" spans="1:7" ht="31.5" customHeight="1" x14ac:dyDescent="0.35">
      <c r="A1" s="7" t="s">
        <v>200</v>
      </c>
      <c r="B1" s="7"/>
      <c r="C1" s="7"/>
      <c r="D1" s="7"/>
      <c r="E1" s="7"/>
      <c r="F1" s="7"/>
      <c r="G1" s="7"/>
    </row>
    <row r="2" spans="1:7" ht="21.75" customHeight="1" x14ac:dyDescent="0.35">
      <c r="A2" s="51" t="s">
        <v>12</v>
      </c>
      <c r="B2" s="51" t="s">
        <v>201</v>
      </c>
      <c r="C2" s="51" t="s">
        <v>202</v>
      </c>
      <c r="D2" s="51" t="s">
        <v>10</v>
      </c>
      <c r="E2" s="51" t="s">
        <v>49</v>
      </c>
      <c r="F2" s="51" t="s">
        <v>62</v>
      </c>
      <c r="G2" s="51" t="s">
        <v>18</v>
      </c>
    </row>
    <row r="3" spans="1:7" ht="19.5" customHeight="1" x14ac:dyDescent="0.35">
      <c r="A3" s="28" t="s">
        <v>24</v>
      </c>
      <c r="B3" s="12" t="s">
        <v>203</v>
      </c>
      <c r="C3" s="52">
        <v>3</v>
      </c>
      <c r="D3" s="52">
        <v>3</v>
      </c>
      <c r="E3" s="52">
        <v>0</v>
      </c>
      <c r="F3" s="52">
        <v>0</v>
      </c>
      <c r="G3" s="52">
        <v>7</v>
      </c>
    </row>
    <row r="4" spans="1:7" ht="19.5" customHeight="1" x14ac:dyDescent="0.35">
      <c r="A4" s="11" t="s">
        <v>45</v>
      </c>
      <c r="B4" s="13" t="s">
        <v>204</v>
      </c>
      <c r="C4" s="53">
        <v>6</v>
      </c>
      <c r="D4" s="53">
        <v>0</v>
      </c>
      <c r="E4" s="53">
        <v>2</v>
      </c>
      <c r="F4" s="53">
        <v>4</v>
      </c>
      <c r="G4" s="53">
        <v>20</v>
      </c>
    </row>
    <row r="5" spans="1:7" ht="19.5" customHeight="1" x14ac:dyDescent="0.35">
      <c r="A5" s="54" t="s">
        <v>81</v>
      </c>
      <c r="B5" s="31" t="s">
        <v>205</v>
      </c>
      <c r="C5" s="52">
        <v>4</v>
      </c>
      <c r="D5" s="52">
        <v>1</v>
      </c>
      <c r="E5" s="52">
        <v>0</v>
      </c>
      <c r="F5" s="52">
        <v>3</v>
      </c>
      <c r="G5" s="52">
        <v>10</v>
      </c>
    </row>
    <row r="6" spans="1:7" ht="19.5" customHeight="1" x14ac:dyDescent="0.35">
      <c r="A6" s="55" t="s">
        <v>104</v>
      </c>
      <c r="B6" s="16" t="s">
        <v>206</v>
      </c>
      <c r="C6" s="53">
        <v>4</v>
      </c>
      <c r="D6" s="53">
        <v>1</v>
      </c>
      <c r="E6" s="53">
        <v>0</v>
      </c>
      <c r="F6" s="53">
        <v>3</v>
      </c>
      <c r="G6" s="53">
        <v>6</v>
      </c>
    </row>
    <row r="7" spans="1:7" ht="19.5" customHeight="1" x14ac:dyDescent="0.35">
      <c r="A7" s="56" t="s">
        <v>124</v>
      </c>
      <c r="B7" s="32" t="s">
        <v>207</v>
      </c>
      <c r="C7" s="52">
        <v>3</v>
      </c>
      <c r="D7" s="52">
        <v>0</v>
      </c>
      <c r="E7" s="52">
        <v>0</v>
      </c>
      <c r="F7" s="52">
        <v>3</v>
      </c>
      <c r="G7" s="52">
        <v>11</v>
      </c>
    </row>
    <row r="8" spans="1:7" ht="19.5" customHeight="1" x14ac:dyDescent="0.35">
      <c r="A8" s="57" t="s">
        <v>138</v>
      </c>
      <c r="B8" s="33" t="s">
        <v>208</v>
      </c>
      <c r="C8" s="53">
        <v>5</v>
      </c>
      <c r="D8" s="53">
        <v>3</v>
      </c>
      <c r="E8" s="53">
        <v>0</v>
      </c>
      <c r="F8" s="53">
        <v>2</v>
      </c>
      <c r="G8" s="53">
        <v>10</v>
      </c>
    </row>
    <row r="9" spans="1:7" ht="21.75" customHeight="1" x14ac:dyDescent="0.35">
      <c r="A9" s="58" t="s">
        <v>209</v>
      </c>
      <c r="C9" s="51">
        <f>SUM(C3:C8)</f>
        <v>25</v>
      </c>
      <c r="D9" s="51">
        <f>SUM(D3:D8)</f>
        <v>8</v>
      </c>
      <c r="E9" s="51">
        <f>SUM(E3:E8)</f>
        <v>2</v>
      </c>
      <c r="F9" s="51">
        <f>SUM(F3:F8)</f>
        <v>15</v>
      </c>
      <c r="G9" s="51">
        <f>SUM(G3:G8)</f>
        <v>64</v>
      </c>
    </row>
  </sheetData>
  <mergeCells count="1">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84C3D"/>
  </sheetPr>
  <dimension ref="A1:G6"/>
  <sheetViews>
    <sheetView showGridLines="0" zoomScaleNormal="100" workbookViewId="0"/>
  </sheetViews>
  <sheetFormatPr defaultColWidth="8.6328125" defaultRowHeight="14.5" x14ac:dyDescent="0.35"/>
  <cols>
    <col min="1" max="1" width="10" customWidth="1"/>
    <col min="2" max="2" width="30" customWidth="1"/>
    <col min="3" max="3" width="16" customWidth="1"/>
    <col min="4" max="4" width="42" customWidth="1"/>
    <col min="5" max="7" width="14" customWidth="1"/>
  </cols>
  <sheetData>
    <row r="1" spans="1:7" ht="31.5" customHeight="1" x14ac:dyDescent="0.35">
      <c r="A1" s="7" t="s">
        <v>210</v>
      </c>
      <c r="B1" s="7"/>
      <c r="C1" s="7"/>
      <c r="D1" s="7"/>
      <c r="E1" s="7"/>
      <c r="F1" s="7"/>
      <c r="G1" s="7"/>
    </row>
    <row r="2" spans="1:7" ht="21.75" customHeight="1" x14ac:dyDescent="0.35">
      <c r="A2" s="51" t="s">
        <v>21</v>
      </c>
      <c r="B2" s="51" t="s">
        <v>211</v>
      </c>
      <c r="C2" s="51" t="s">
        <v>17</v>
      </c>
      <c r="D2" s="51" t="s">
        <v>212</v>
      </c>
      <c r="E2" s="51" t="s">
        <v>213</v>
      </c>
      <c r="F2" s="51" t="s">
        <v>19</v>
      </c>
      <c r="G2" s="51" t="s">
        <v>214</v>
      </c>
    </row>
    <row r="3" spans="1:7" ht="51.75" customHeight="1" x14ac:dyDescent="0.35">
      <c r="A3" s="59" t="s">
        <v>50</v>
      </c>
      <c r="B3" s="60" t="s">
        <v>215</v>
      </c>
      <c r="C3" s="16" t="s">
        <v>29</v>
      </c>
      <c r="D3" s="61" t="s">
        <v>216</v>
      </c>
      <c r="E3" s="9" t="s">
        <v>217</v>
      </c>
      <c r="F3" s="9" t="s">
        <v>49</v>
      </c>
      <c r="G3" s="9" t="s">
        <v>218</v>
      </c>
    </row>
    <row r="4" spans="1:7" ht="51.75" customHeight="1" x14ac:dyDescent="0.35">
      <c r="A4" s="62" t="s">
        <v>56</v>
      </c>
      <c r="B4" s="63" t="s">
        <v>219</v>
      </c>
      <c r="C4" s="16" t="s">
        <v>29</v>
      </c>
      <c r="D4" s="61" t="s">
        <v>220</v>
      </c>
      <c r="E4" s="9" t="s">
        <v>221</v>
      </c>
      <c r="F4" s="9" t="s">
        <v>49</v>
      </c>
      <c r="G4" s="9" t="s">
        <v>222</v>
      </c>
    </row>
    <row r="5" spans="1:7" ht="51.75" customHeight="1" x14ac:dyDescent="0.35">
      <c r="A5" s="64" t="s">
        <v>85</v>
      </c>
      <c r="B5" s="65" t="s">
        <v>223</v>
      </c>
      <c r="C5" s="16" t="s">
        <v>29</v>
      </c>
      <c r="D5" s="61" t="s">
        <v>224</v>
      </c>
      <c r="E5" s="9" t="s">
        <v>225</v>
      </c>
      <c r="F5" s="9" t="s">
        <v>49</v>
      </c>
      <c r="G5" s="9" t="s">
        <v>226</v>
      </c>
    </row>
    <row r="6" spans="1:7" ht="51.75" customHeight="1" x14ac:dyDescent="0.35">
      <c r="A6" s="66" t="s">
        <v>31</v>
      </c>
      <c r="B6" s="67" t="s">
        <v>227</v>
      </c>
      <c r="C6" s="16" t="s">
        <v>29</v>
      </c>
      <c r="D6" s="61" t="s">
        <v>228</v>
      </c>
      <c r="E6" s="9" t="s">
        <v>229</v>
      </c>
      <c r="F6" s="9" t="s">
        <v>49</v>
      </c>
      <c r="G6" s="9" t="s">
        <v>230</v>
      </c>
    </row>
  </sheetData>
  <mergeCells count="1">
    <mergeCell ref="A1:G1"/>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Board</vt:lpstr>
      <vt:lpstr>Epic Summary</vt:lpstr>
      <vt:lpstr>Req Traceability</vt:lpstr>
      <vt:lpstr>'Product Backlog'!Print_Titles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Sivapragasam, Shashikala</cp:lastModifiedBy>
  <cp:revision>0</cp:revision>
  <dcterms:created xsi:type="dcterms:W3CDTF">2026-05-22T18:56:50Z</dcterms:created>
  <dcterms:modified xsi:type="dcterms:W3CDTF">2026-05-22T19:03:02Z</dcterms:modified>
  <dc:language>en-US</dc:language>
</cp:coreProperties>
</file>